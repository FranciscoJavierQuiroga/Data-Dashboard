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Ruth Gonzalez\OneDrive\Escritorio\Aseguramiento 2026\Cancer 2026\PROYECTO CANCER - 2\"/>
    </mc:Choice>
  </mc:AlternateContent>
  <xr:revisionPtr revIDLastSave="0" documentId="13_ncr:1_{31BF233D-E0B8-4B6E-9307-BF598AE698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ACTORES DE RIESGO PIC  " sheetId="2" r:id="rId1"/>
    <sheet name="VACUNACION  VPH" sheetId="1" r:id="rId2"/>
  </sheets>
  <definedNames>
    <definedName name="_xlnm._FilterDatabase" localSheetId="0" hidden="1">'FACTORES DE RIESGO PIC  '!$A$1:$E$43</definedName>
    <definedName name="_xlnm._FilterDatabase" localSheetId="1" hidden="1">'VACUNACION  VPH'!$A$2:$AF$16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3" i="1"/>
  <c r="J4" i="1"/>
  <c r="M4" i="1" s="1"/>
  <c r="J5" i="1"/>
  <c r="J6" i="1"/>
  <c r="J7" i="1"/>
  <c r="J8" i="1"/>
  <c r="M8" i="1" s="1"/>
  <c r="J9" i="1"/>
  <c r="M9" i="1" s="1"/>
  <c r="J10" i="1"/>
  <c r="M10" i="1" s="1"/>
  <c r="J11" i="1"/>
  <c r="M11" i="1" s="1"/>
  <c r="J12" i="1"/>
  <c r="M12" i="1" s="1"/>
  <c r="J13" i="1"/>
  <c r="J14" i="1"/>
  <c r="J15" i="1"/>
  <c r="M15" i="1" s="1"/>
  <c r="J16" i="1"/>
  <c r="M16" i="1" s="1"/>
  <c r="J3" i="1"/>
  <c r="M3" i="1" s="1"/>
  <c r="M7" i="1" l="1"/>
  <c r="M14" i="1"/>
  <c r="M6" i="1"/>
  <c r="M13" i="1"/>
  <c r="M5" i="1"/>
</calcChain>
</file>

<file path=xl/sharedStrings.xml><?xml version="1.0" encoding="utf-8"?>
<sst xmlns="http://schemas.openxmlformats.org/spreadsheetml/2006/main" count="140" uniqueCount="75">
  <si>
    <t>JUVENTUD (18 a 28 años)</t>
  </si>
  <si>
    <t>Porcentaje con Delgadez</t>
  </si>
  <si>
    <t>Porcentaje con peso Normal</t>
  </si>
  <si>
    <t>Porcentaje con Sobrepeso</t>
  </si>
  <si>
    <t>Porcentaje con Obesidad Grado I</t>
  </si>
  <si>
    <t>Porcentaje con Obesidad Grado II</t>
  </si>
  <si>
    <t>Porcentaje con Obesidad Grado III</t>
  </si>
  <si>
    <t xml:space="preserve">Indicador </t>
  </si>
  <si>
    <t>numerador</t>
  </si>
  <si>
    <t>denominador</t>
  </si>
  <si>
    <t>Porcentaje que fuman</t>
  </si>
  <si>
    <t>Porcentaje con actividad física periódica (150 minutos/semana)ntaje con actividad física periódica (150 minutos/semana) 3157</t>
  </si>
  <si>
    <t>Porcentaje con antecedentes de diabetes por padres, hermanos, hijos.</t>
  </si>
  <si>
    <t>Porcentaje que han presentado valores de azúcar altos</t>
  </si>
  <si>
    <t>Porcentaje con colesterol alto</t>
  </si>
  <si>
    <t>Porcentaje con consumo de bebidas alcohólicas</t>
  </si>
  <si>
    <t>ADULTEZ (29 a 59 años)</t>
  </si>
  <si>
    <t>VEJEZ (60 y más años)</t>
  </si>
  <si>
    <t>Porc. con citología - 60 a 65 años (último año)</t>
  </si>
  <si>
    <t>Porc. con exámen físico de seno - 60 a 69 años (último año)</t>
  </si>
  <si>
    <t>Porc. con mamografía - 60 a 69 años (últimos 2 años)</t>
  </si>
  <si>
    <t>Porc. con tamizaje para cáncer de colón (últimos 2 años)</t>
  </si>
  <si>
    <t>Porc. con tamizaje para cáncer próstata - PSA (últimos 5 años)</t>
  </si>
  <si>
    <t>Porc. con tamizaje para cáncer próstata - Tacto Rectal (últimos 5 años)</t>
  </si>
  <si>
    <t xml:space="preserve">NOMBRE DEL INDICADOR </t>
  </si>
  <si>
    <t>GRUPO EDAD</t>
  </si>
  <si>
    <t>META 2026</t>
  </si>
  <si>
    <t xml:space="preserve">IPS </t>
  </si>
  <si>
    <t xml:space="preserve">EPS </t>
  </si>
  <si>
    <t>% CUMPLIMIENTO</t>
  </si>
  <si>
    <t>META PROGR. 9 AÑOS NIÑAS</t>
  </si>
  <si>
    <t>VPH 9 años 1ra dosis</t>
  </si>
  <si>
    <t xml:space="preserve">META PROGR. 9 AÑOS </t>
  </si>
  <si>
    <t>VPH 9 años 1ra dosis NIÑOS</t>
  </si>
  <si>
    <t>% CUMPLIMIENTO NIÑOS</t>
  </si>
  <si>
    <t xml:space="preserve">CLINICA CHIA </t>
  </si>
  <si>
    <t>NUEVA EPS-C</t>
  </si>
  <si>
    <t>RANGO COBERTURAS</t>
  </si>
  <si>
    <t>MARZO</t>
  </si>
  <si>
    <t>CLINICOS</t>
  </si>
  <si>
    <t>FAMISANAR E.P.S.</t>
  </si>
  <si>
    <t>MAYOR UTIL</t>
  </si>
  <si>
    <t>&gt;=25,00</t>
  </si>
  <si>
    <t>SALUD SOGAMOSO ESE</t>
  </si>
  <si>
    <t>COOSALUD</t>
  </si>
  <si>
    <t>UTIL</t>
  </si>
  <si>
    <t xml:space="preserve"> 23,75% - 24,99%</t>
  </si>
  <si>
    <t>CENTRO MEDICO EGEIRO</t>
  </si>
  <si>
    <t>SANITAS</t>
  </si>
  <si>
    <t>RIESGO BAJO</t>
  </si>
  <si>
    <t xml:space="preserve"> 22,50 - 23,74%</t>
  </si>
  <si>
    <t>SIREB</t>
  </si>
  <si>
    <t>SALUD TOTAL-C</t>
  </si>
  <si>
    <t>RIESGO MEDIO</t>
  </si>
  <si>
    <t xml:space="preserve"> 20,00 - 22,49%</t>
  </si>
  <si>
    <t>vph: F 925  y M 864</t>
  </si>
  <si>
    <t>NUEVA EPS SUB</t>
  </si>
  <si>
    <t>RIESGO ALTO</t>
  </si>
  <si>
    <t xml:space="preserve"> 12,50 - 19,99%</t>
  </si>
  <si>
    <t>CRITICA</t>
  </si>
  <si>
    <t xml:space="preserve"> 0,1 - &lt;= 12,49%</t>
  </si>
  <si>
    <t>PROTEGER</t>
  </si>
  <si>
    <t>SALUD TOTAL-S</t>
  </si>
  <si>
    <t>SANITAS-S</t>
  </si>
  <si>
    <t>SANIDAD SEGUNDO DISTRITO</t>
  </si>
  <si>
    <t>POLICIA</t>
  </si>
  <si>
    <t>ESM 5038 BATALLON TARQUI</t>
  </si>
  <si>
    <t>EJERCITO</t>
  </si>
  <si>
    <t>OTRAS</t>
  </si>
  <si>
    <t>FOMAC, CAPRESOCA, SURA, COMPENSAR</t>
  </si>
  <si>
    <t>TOTAL POBLACION</t>
  </si>
  <si>
    <t>TOTAL META ANUAL</t>
  </si>
  <si>
    <t xml:space="preserve">ACT EJECUTADA I TRIMESTRE </t>
  </si>
  <si>
    <t>% EJECUCION I TRIMESTRE CON META TRIMESTRAL</t>
  </si>
  <si>
    <t>% EJECUCION I TRIMESTRE CON META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</si>
</sst>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b/>
      <sz val="12"/>
      <color theme="1"/>
      <name val="Arial"/>
      <family val="2"/>
    </font>
    <font>
      <b/>
      <sz val="8"/>
      <name val="Arial"/>
      <family val="2"/>
    </font>
    <font>
      <b/>
      <sz val="11"/>
      <color theme="1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8"/>
      <color rgb="FFFF0000"/>
      <name val="Arial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b/>
      <sz val="8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FBF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6" borderId="3" xfId="0" applyFont="1" applyFill="1" applyBorder="1" applyAlignment="1">
      <alignment horizontal="justify" vertical="center" wrapText="1"/>
    </xf>
    <xf numFmtId="0" fontId="4" fillId="6" borderId="4" xfId="0" applyFont="1" applyFill="1" applyBorder="1" applyAlignment="1">
      <alignment horizontal="justify" vertical="center" wrapText="1"/>
    </xf>
    <xf numFmtId="0" fontId="4" fillId="6" borderId="5" xfId="0" applyFont="1" applyFill="1" applyBorder="1" applyAlignment="1">
      <alignment horizontal="justify" vertical="center" wrapText="1"/>
    </xf>
    <xf numFmtId="0" fontId="4" fillId="4" borderId="3" xfId="0" applyFont="1" applyFill="1" applyBorder="1" applyAlignment="1">
      <alignment horizontal="justify" vertical="center" wrapText="1"/>
    </xf>
    <xf numFmtId="0" fontId="4" fillId="7" borderId="4" xfId="0" applyFont="1" applyFill="1" applyBorder="1" applyAlignment="1">
      <alignment horizontal="justify" vertical="center" wrapText="1"/>
    </xf>
    <xf numFmtId="0" fontId="5" fillId="0" borderId="0" xfId="0" applyFont="1" applyAlignment="1">
      <alignment vertical="top" wrapText="1"/>
    </xf>
    <xf numFmtId="0" fontId="3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1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164" fontId="4" fillId="5" borderId="6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 applyProtection="1">
      <alignment horizontal="left" vertical="center"/>
      <protection locked="0" hidden="1"/>
    </xf>
    <xf numFmtId="164" fontId="4" fillId="11" borderId="1" xfId="0" applyNumberFormat="1" applyFont="1" applyFill="1" applyBorder="1" applyAlignment="1">
      <alignment horizontal="center" vertical="center" wrapText="1"/>
    </xf>
    <xf numFmtId="2" fontId="8" fillId="13" borderId="1" xfId="0" applyNumberFormat="1" applyFont="1" applyFill="1" applyBorder="1" applyAlignment="1" applyProtection="1">
      <alignment horizontal="left" wrapText="1"/>
      <protection locked="0" hidden="1"/>
    </xf>
    <xf numFmtId="2" fontId="9" fillId="13" borderId="1" xfId="0" applyNumberFormat="1" applyFont="1" applyFill="1" applyBorder="1" applyAlignment="1" applyProtection="1">
      <alignment horizontal="left" vertical="center"/>
      <protection locked="0" hidden="1"/>
    </xf>
    <xf numFmtId="164" fontId="4" fillId="12" borderId="1" xfId="0" applyNumberFormat="1" applyFont="1" applyFill="1" applyBorder="1" applyAlignment="1">
      <alignment horizontal="center" vertical="center" wrapText="1"/>
    </xf>
    <xf numFmtId="2" fontId="8" fillId="14" borderId="1" xfId="0" applyNumberFormat="1" applyFont="1" applyFill="1" applyBorder="1" applyAlignment="1" applyProtection="1">
      <alignment horizontal="left"/>
      <protection locked="0" hidden="1"/>
    </xf>
    <xf numFmtId="2" fontId="9" fillId="14" borderId="1" xfId="0" applyNumberFormat="1" applyFont="1" applyFill="1" applyBorder="1" applyAlignment="1" applyProtection="1">
      <alignment horizontal="left" vertical="center"/>
      <protection locked="0" hidden="1"/>
    </xf>
    <xf numFmtId="0" fontId="10" fillId="0" borderId="0" xfId="0" applyFont="1" applyAlignment="1">
      <alignment vertical="top" wrapText="1"/>
    </xf>
    <xf numFmtId="2" fontId="8" fillId="5" borderId="1" xfId="0" applyNumberFormat="1" applyFont="1" applyFill="1" applyBorder="1" applyAlignment="1" applyProtection="1">
      <alignment horizontal="left"/>
      <protection locked="0" hidden="1"/>
    </xf>
    <xf numFmtId="2" fontId="9" fillId="5" borderId="1" xfId="0" applyNumberFormat="1" applyFont="1" applyFill="1" applyBorder="1" applyAlignment="1" applyProtection="1">
      <alignment horizontal="left" vertical="center"/>
      <protection locked="0" hidden="1"/>
    </xf>
    <xf numFmtId="0" fontId="10" fillId="0" borderId="0" xfId="0" applyFont="1" applyAlignment="1">
      <alignment vertical="top"/>
    </xf>
    <xf numFmtId="164" fontId="4" fillId="15" borderId="1" xfId="0" applyNumberFormat="1" applyFont="1" applyFill="1" applyBorder="1" applyAlignment="1">
      <alignment horizontal="center" vertical="center" wrapText="1"/>
    </xf>
    <xf numFmtId="2" fontId="8" fillId="12" borderId="1" xfId="0" applyNumberFormat="1" applyFont="1" applyFill="1" applyBorder="1" applyAlignment="1" applyProtection="1">
      <alignment horizontal="left"/>
      <protection locked="0" hidden="1"/>
    </xf>
    <xf numFmtId="2" fontId="9" fillId="12" borderId="1" xfId="0" applyNumberFormat="1" applyFont="1" applyFill="1" applyBorder="1" applyAlignment="1" applyProtection="1">
      <alignment horizontal="left" vertical="center"/>
      <protection locked="0" hidden="1"/>
    </xf>
    <xf numFmtId="0" fontId="11" fillId="0" borderId="0" xfId="0" applyFont="1" applyAlignment="1">
      <alignment vertical="top"/>
    </xf>
    <xf numFmtId="0" fontId="4" fillId="9" borderId="8" xfId="0" applyFont="1" applyFill="1" applyBorder="1" applyAlignment="1">
      <alignment vertical="center" wrapText="1"/>
    </xf>
    <xf numFmtId="2" fontId="8" fillId="11" borderId="1" xfId="0" applyNumberFormat="1" applyFont="1" applyFill="1" applyBorder="1" applyAlignment="1" applyProtection="1">
      <alignment horizontal="left"/>
      <protection locked="0" hidden="1"/>
    </xf>
    <xf numFmtId="2" fontId="9" fillId="11" borderId="1" xfId="0" applyNumberFormat="1" applyFont="1" applyFill="1" applyBorder="1" applyAlignment="1" applyProtection="1">
      <alignment horizontal="left" vertical="center"/>
      <protection locked="0" hidden="1"/>
    </xf>
    <xf numFmtId="0" fontId="4" fillId="9" borderId="10" xfId="0" applyFont="1" applyFill="1" applyBorder="1" applyAlignment="1">
      <alignment vertical="center" wrapText="1"/>
    </xf>
    <xf numFmtId="2" fontId="8" fillId="15" borderId="1" xfId="0" applyNumberFormat="1" applyFont="1" applyFill="1" applyBorder="1" applyAlignment="1" applyProtection="1">
      <alignment horizontal="left"/>
      <protection locked="0" hidden="1"/>
    </xf>
    <xf numFmtId="2" fontId="9" fillId="15" borderId="1" xfId="0" applyNumberFormat="1" applyFont="1" applyFill="1" applyBorder="1" applyAlignment="1" applyProtection="1">
      <alignment horizontal="left" vertical="center"/>
      <protection locked="0" hidden="1"/>
    </xf>
    <xf numFmtId="0" fontId="4" fillId="9" borderId="12" xfId="0" applyFont="1" applyFill="1" applyBorder="1" applyAlignment="1">
      <alignment vertical="center" wrapText="1"/>
    </xf>
    <xf numFmtId="0" fontId="4" fillId="9" borderId="6" xfId="0" applyFont="1" applyFill="1" applyBorder="1" applyAlignment="1">
      <alignment vertical="center" wrapText="1"/>
    </xf>
    <xf numFmtId="0" fontId="4" fillId="16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2" fontId="13" fillId="5" borderId="1" xfId="0" applyNumberFormat="1" applyFont="1" applyFill="1" applyBorder="1" applyAlignment="1">
      <alignment horizontal="center"/>
    </xf>
    <xf numFmtId="0" fontId="13" fillId="1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/>
    <xf numFmtId="0" fontId="4" fillId="7" borderId="14" xfId="0" applyFont="1" applyFill="1" applyBorder="1" applyAlignment="1">
      <alignment horizontal="justify" vertical="center" wrapText="1"/>
    </xf>
    <xf numFmtId="164" fontId="4" fillId="10" borderId="11" xfId="0" applyNumberFormat="1" applyFont="1" applyFill="1" applyBorder="1" applyAlignment="1">
      <alignment horizontal="center" vertical="center" wrapText="1"/>
    </xf>
    <xf numFmtId="164" fontId="4" fillId="11" borderId="11" xfId="0" applyNumberFormat="1" applyFont="1" applyFill="1" applyBorder="1" applyAlignment="1">
      <alignment horizontal="center" vertical="center" wrapText="1"/>
    </xf>
    <xf numFmtId="164" fontId="4" fillId="15" borderId="11" xfId="0" applyNumberFormat="1" applyFont="1" applyFill="1" applyBorder="1" applyAlignment="1">
      <alignment horizontal="center" vertical="center" wrapText="1"/>
    </xf>
    <xf numFmtId="2" fontId="4" fillId="12" borderId="11" xfId="0" applyNumberFormat="1" applyFont="1" applyFill="1" applyBorder="1" applyAlignment="1">
      <alignment horizontal="center" vertical="center" wrapText="1"/>
    </xf>
    <xf numFmtId="164" fontId="14" fillId="12" borderId="11" xfId="0" applyNumberFormat="1" applyFont="1" applyFill="1" applyBorder="1" applyAlignment="1">
      <alignment horizontal="center" wrapText="1"/>
    </xf>
    <xf numFmtId="0" fontId="1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3" fillId="8" borderId="7" xfId="0" applyFont="1" applyFill="1" applyBorder="1" applyAlignment="1">
      <alignment vertical="center" wrapText="1"/>
    </xf>
    <xf numFmtId="0" fontId="3" fillId="8" borderId="9" xfId="0" applyFont="1" applyFill="1" applyBorder="1" applyAlignment="1">
      <alignment vertical="center" wrapText="1"/>
    </xf>
    <xf numFmtId="0" fontId="3" fillId="8" borderId="1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13" xfId="0" applyFont="1" applyFill="1" applyBorder="1" applyAlignment="1">
      <alignment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7A1B7-CC6A-4634-80FE-7DA3FB4478E2}">
  <dimension ref="A1:E43"/>
  <sheetViews>
    <sheetView tabSelected="1" workbookViewId="0">
      <selection activeCell="A12" sqref="A12"/>
    </sheetView>
  </sheetViews>
  <sheetFormatPr baseColWidth="10" defaultRowHeight="15" x14ac:dyDescent="0.25"/>
  <cols>
    <col min="1" max="1" width="25.7109375" customWidth="1"/>
    <col min="2" max="2" width="42" customWidth="1"/>
  </cols>
  <sheetData>
    <row r="1" spans="1:5" x14ac:dyDescent="0.25">
      <c r="A1" t="s">
        <v>25</v>
      </c>
      <c r="B1" t="s">
        <v>24</v>
      </c>
      <c r="C1" t="s">
        <v>7</v>
      </c>
      <c r="D1" t="s">
        <v>8</v>
      </c>
      <c r="E1" t="s">
        <v>9</v>
      </c>
    </row>
    <row r="2" spans="1:5" x14ac:dyDescent="0.25">
      <c r="A2" t="s">
        <v>0</v>
      </c>
      <c r="B2" t="s">
        <v>1</v>
      </c>
      <c r="C2">
        <v>5.03</v>
      </c>
      <c r="D2">
        <v>135</v>
      </c>
      <c r="E2">
        <v>2681</v>
      </c>
    </row>
    <row r="3" spans="1:5" x14ac:dyDescent="0.25">
      <c r="A3" t="s">
        <v>0</v>
      </c>
      <c r="B3" t="s">
        <v>2</v>
      </c>
      <c r="C3">
        <v>60.35</v>
      </c>
      <c r="D3">
        <v>1618</v>
      </c>
      <c r="E3">
        <v>2681</v>
      </c>
    </row>
    <row r="4" spans="1:5" x14ac:dyDescent="0.25">
      <c r="A4" t="s">
        <v>0</v>
      </c>
      <c r="B4" t="s">
        <v>3</v>
      </c>
      <c r="C4">
        <v>25.58</v>
      </c>
      <c r="D4">
        <v>686</v>
      </c>
      <c r="E4">
        <v>2681</v>
      </c>
    </row>
    <row r="5" spans="1:5" x14ac:dyDescent="0.25">
      <c r="A5" t="s">
        <v>0</v>
      </c>
      <c r="B5" t="s">
        <v>4</v>
      </c>
      <c r="C5">
        <v>6.93</v>
      </c>
      <c r="D5">
        <v>186</v>
      </c>
      <c r="E5">
        <v>2681</v>
      </c>
    </row>
    <row r="6" spans="1:5" x14ac:dyDescent="0.25">
      <c r="A6" t="s">
        <v>0</v>
      </c>
      <c r="B6" t="s">
        <v>5</v>
      </c>
      <c r="C6">
        <v>1.86</v>
      </c>
      <c r="D6">
        <v>50</v>
      </c>
      <c r="E6">
        <v>2681</v>
      </c>
    </row>
    <row r="7" spans="1:5" x14ac:dyDescent="0.25">
      <c r="A7" t="s">
        <v>0</v>
      </c>
      <c r="B7" t="s">
        <v>6</v>
      </c>
      <c r="C7">
        <v>0.22</v>
      </c>
      <c r="D7">
        <v>6</v>
      </c>
      <c r="E7">
        <v>2681</v>
      </c>
    </row>
    <row r="8" spans="1:5" x14ac:dyDescent="0.25">
      <c r="A8" t="s">
        <v>0</v>
      </c>
      <c r="B8" t="s">
        <v>11</v>
      </c>
      <c r="C8">
        <v>39.909999999999997</v>
      </c>
      <c r="D8">
        <v>1260</v>
      </c>
      <c r="E8">
        <v>3157</v>
      </c>
    </row>
    <row r="9" spans="1:5" x14ac:dyDescent="0.25">
      <c r="A9" t="s">
        <v>0</v>
      </c>
      <c r="B9" t="s">
        <v>10</v>
      </c>
      <c r="C9">
        <v>5.38</v>
      </c>
      <c r="D9">
        <v>170</v>
      </c>
      <c r="E9">
        <v>3157</v>
      </c>
    </row>
    <row r="10" spans="1:5" x14ac:dyDescent="0.25">
      <c r="A10" t="s">
        <v>0</v>
      </c>
      <c r="B10" t="s">
        <v>12</v>
      </c>
      <c r="C10">
        <v>13.17</v>
      </c>
      <c r="D10">
        <v>416</v>
      </c>
      <c r="E10">
        <v>3157</v>
      </c>
    </row>
    <row r="11" spans="1:5" x14ac:dyDescent="0.25">
      <c r="A11" t="s">
        <v>0</v>
      </c>
      <c r="B11" t="s">
        <v>13</v>
      </c>
      <c r="C11">
        <v>1.42</v>
      </c>
      <c r="D11">
        <v>45</v>
      </c>
      <c r="E11">
        <v>3157</v>
      </c>
    </row>
    <row r="12" spans="1:5" x14ac:dyDescent="0.25">
      <c r="A12" t="s">
        <v>0</v>
      </c>
      <c r="B12" t="s">
        <v>14</v>
      </c>
      <c r="C12">
        <v>1.8</v>
      </c>
      <c r="D12">
        <v>57</v>
      </c>
      <c r="E12">
        <v>3157</v>
      </c>
    </row>
    <row r="13" spans="1:5" x14ac:dyDescent="0.25">
      <c r="A13" t="s">
        <v>0</v>
      </c>
      <c r="B13" t="s">
        <v>15</v>
      </c>
      <c r="C13">
        <v>12.25</v>
      </c>
      <c r="D13">
        <v>387</v>
      </c>
      <c r="E13">
        <v>3157</v>
      </c>
    </row>
    <row r="14" spans="1:5" x14ac:dyDescent="0.25">
      <c r="A14" t="s">
        <v>16</v>
      </c>
      <c r="B14" t="s">
        <v>1</v>
      </c>
      <c r="C14">
        <v>1.35</v>
      </c>
      <c r="D14">
        <v>115</v>
      </c>
      <c r="E14">
        <v>8482</v>
      </c>
    </row>
    <row r="15" spans="1:5" x14ac:dyDescent="0.25">
      <c r="A15" t="s">
        <v>16</v>
      </c>
      <c r="B15" t="s">
        <v>2</v>
      </c>
      <c r="C15">
        <v>37.67</v>
      </c>
      <c r="D15">
        <v>3196</v>
      </c>
      <c r="E15">
        <v>8482</v>
      </c>
    </row>
    <row r="16" spans="1:5" x14ac:dyDescent="0.25">
      <c r="A16" t="s">
        <v>16</v>
      </c>
      <c r="B16" t="s">
        <v>3</v>
      </c>
      <c r="C16">
        <v>40.99</v>
      </c>
      <c r="D16">
        <v>3477</v>
      </c>
      <c r="E16">
        <v>8482</v>
      </c>
    </row>
    <row r="17" spans="1:5" x14ac:dyDescent="0.25">
      <c r="A17" t="s">
        <v>16</v>
      </c>
      <c r="B17" t="s">
        <v>4</v>
      </c>
      <c r="C17">
        <v>15.2</v>
      </c>
      <c r="D17">
        <v>1290</v>
      </c>
      <c r="E17">
        <v>8482</v>
      </c>
    </row>
    <row r="18" spans="1:5" x14ac:dyDescent="0.25">
      <c r="A18" t="s">
        <v>16</v>
      </c>
      <c r="B18" t="s">
        <v>5</v>
      </c>
      <c r="C18">
        <v>3.67</v>
      </c>
      <c r="D18">
        <v>312</v>
      </c>
      <c r="E18">
        <v>8482</v>
      </c>
    </row>
    <row r="19" spans="1:5" x14ac:dyDescent="0.25">
      <c r="A19" t="s">
        <v>16</v>
      </c>
      <c r="B19" t="s">
        <v>6</v>
      </c>
      <c r="C19">
        <v>1.08</v>
      </c>
      <c r="D19">
        <v>92</v>
      </c>
      <c r="E19">
        <v>8482</v>
      </c>
    </row>
    <row r="20" spans="1:5" x14ac:dyDescent="0.25">
      <c r="A20" t="s">
        <v>16</v>
      </c>
      <c r="B20" t="s">
        <v>11</v>
      </c>
      <c r="C20">
        <v>37.22</v>
      </c>
      <c r="D20">
        <v>3544</v>
      </c>
      <c r="E20">
        <v>9520</v>
      </c>
    </row>
    <row r="21" spans="1:5" x14ac:dyDescent="0.25">
      <c r="A21" t="s">
        <v>16</v>
      </c>
      <c r="B21" t="s">
        <v>10</v>
      </c>
      <c r="C21">
        <v>4.67</v>
      </c>
      <c r="D21">
        <v>445</v>
      </c>
      <c r="E21">
        <v>9520</v>
      </c>
    </row>
    <row r="22" spans="1:5" x14ac:dyDescent="0.25">
      <c r="A22" t="s">
        <v>16</v>
      </c>
      <c r="B22" t="s">
        <v>12</v>
      </c>
      <c r="C22">
        <v>19.02</v>
      </c>
      <c r="D22">
        <v>18.11</v>
      </c>
      <c r="E22">
        <v>9520</v>
      </c>
    </row>
    <row r="23" spans="1:5" x14ac:dyDescent="0.25">
      <c r="A23" t="s">
        <v>16</v>
      </c>
      <c r="B23" t="s">
        <v>13</v>
      </c>
      <c r="C23">
        <v>3.89</v>
      </c>
      <c r="D23">
        <v>371</v>
      </c>
      <c r="E23">
        <v>9520</v>
      </c>
    </row>
    <row r="24" spans="1:5" x14ac:dyDescent="0.25">
      <c r="A24" t="s">
        <v>16</v>
      </c>
      <c r="B24" t="s">
        <v>14</v>
      </c>
      <c r="C24">
        <v>6.75</v>
      </c>
      <c r="D24">
        <v>643</v>
      </c>
      <c r="E24">
        <v>9520</v>
      </c>
    </row>
    <row r="25" spans="1:5" x14ac:dyDescent="0.25">
      <c r="A25" t="s">
        <v>16</v>
      </c>
      <c r="B25" t="s">
        <v>15</v>
      </c>
      <c r="C25">
        <v>14.29</v>
      </c>
      <c r="D25">
        <v>1361</v>
      </c>
      <c r="E25">
        <v>9520</v>
      </c>
    </row>
    <row r="26" spans="1:5" x14ac:dyDescent="0.25">
      <c r="A26" t="s">
        <v>17</v>
      </c>
      <c r="B26" t="s">
        <v>1</v>
      </c>
      <c r="C26">
        <v>2.13</v>
      </c>
      <c r="D26">
        <v>137</v>
      </c>
      <c r="E26">
        <v>6420</v>
      </c>
    </row>
    <row r="27" spans="1:5" x14ac:dyDescent="0.25">
      <c r="A27" t="s">
        <v>17</v>
      </c>
      <c r="B27" t="s">
        <v>2</v>
      </c>
      <c r="C27">
        <v>41.51</v>
      </c>
      <c r="D27">
        <v>2665</v>
      </c>
      <c r="E27">
        <v>6420</v>
      </c>
    </row>
    <row r="28" spans="1:5" x14ac:dyDescent="0.25">
      <c r="A28" t="s">
        <v>17</v>
      </c>
      <c r="B28" t="s">
        <v>3</v>
      </c>
      <c r="C28">
        <v>40.229999999999997</v>
      </c>
      <c r="D28">
        <v>2583</v>
      </c>
      <c r="E28">
        <v>6420</v>
      </c>
    </row>
    <row r="29" spans="1:5" x14ac:dyDescent="0.25">
      <c r="A29" t="s">
        <v>17</v>
      </c>
      <c r="B29" t="s">
        <v>4</v>
      </c>
      <c r="C29">
        <v>12.88</v>
      </c>
      <c r="D29">
        <v>827</v>
      </c>
      <c r="E29">
        <v>6420</v>
      </c>
    </row>
    <row r="30" spans="1:5" x14ac:dyDescent="0.25">
      <c r="A30" t="s">
        <v>17</v>
      </c>
      <c r="B30" t="s">
        <v>5</v>
      </c>
      <c r="C30">
        <v>2.64</v>
      </c>
      <c r="D30">
        <v>170</v>
      </c>
      <c r="E30">
        <v>6420</v>
      </c>
    </row>
    <row r="31" spans="1:5" x14ac:dyDescent="0.25">
      <c r="A31" t="s">
        <v>17</v>
      </c>
      <c r="B31" t="s">
        <v>6</v>
      </c>
      <c r="C31">
        <v>0.59</v>
      </c>
      <c r="D31">
        <v>38</v>
      </c>
      <c r="E31">
        <v>6420</v>
      </c>
    </row>
    <row r="32" spans="1:5" x14ac:dyDescent="0.25">
      <c r="A32" t="s">
        <v>17</v>
      </c>
      <c r="B32" t="s">
        <v>11</v>
      </c>
      <c r="C32">
        <v>39.270000000000003</v>
      </c>
      <c r="D32">
        <v>2651</v>
      </c>
      <c r="E32">
        <v>6749</v>
      </c>
    </row>
    <row r="33" spans="1:5" x14ac:dyDescent="0.25">
      <c r="A33" t="s">
        <v>17</v>
      </c>
      <c r="B33" t="s">
        <v>10</v>
      </c>
      <c r="C33">
        <v>3.28</v>
      </c>
      <c r="D33">
        <v>222</v>
      </c>
      <c r="E33">
        <v>6749</v>
      </c>
    </row>
    <row r="34" spans="1:5" x14ac:dyDescent="0.25">
      <c r="A34" t="s">
        <v>17</v>
      </c>
      <c r="B34" t="s">
        <v>12</v>
      </c>
      <c r="C34">
        <v>19.91</v>
      </c>
      <c r="D34">
        <v>1344</v>
      </c>
      <c r="E34">
        <v>6749</v>
      </c>
    </row>
    <row r="35" spans="1:5" x14ac:dyDescent="0.25">
      <c r="A35" t="s">
        <v>17</v>
      </c>
      <c r="B35" t="s">
        <v>13</v>
      </c>
      <c r="C35">
        <v>9.66</v>
      </c>
      <c r="D35">
        <v>652</v>
      </c>
      <c r="E35">
        <v>6749</v>
      </c>
    </row>
    <row r="36" spans="1:5" x14ac:dyDescent="0.25">
      <c r="A36" t="s">
        <v>17</v>
      </c>
      <c r="B36" t="s">
        <v>14</v>
      </c>
      <c r="C36">
        <v>10.34</v>
      </c>
      <c r="D36">
        <v>698</v>
      </c>
      <c r="E36">
        <v>6749</v>
      </c>
    </row>
    <row r="37" spans="1:5" x14ac:dyDescent="0.25">
      <c r="A37" t="s">
        <v>17</v>
      </c>
      <c r="B37" t="s">
        <v>15</v>
      </c>
      <c r="C37">
        <v>7.7</v>
      </c>
      <c r="D37">
        <v>520</v>
      </c>
      <c r="E37">
        <v>6749</v>
      </c>
    </row>
    <row r="38" spans="1:5" x14ac:dyDescent="0.25">
      <c r="A38" t="s">
        <v>17</v>
      </c>
      <c r="B38" t="s">
        <v>18</v>
      </c>
      <c r="C38">
        <v>80.319999999999993</v>
      </c>
      <c r="D38">
        <v>996</v>
      </c>
      <c r="E38">
        <v>1240</v>
      </c>
    </row>
    <row r="39" spans="1:5" x14ac:dyDescent="0.25">
      <c r="A39" t="s">
        <v>17</v>
      </c>
      <c r="B39" t="s">
        <v>19</v>
      </c>
      <c r="C39">
        <v>72.03</v>
      </c>
      <c r="D39">
        <v>1517</v>
      </c>
      <c r="E39">
        <v>2106</v>
      </c>
    </row>
    <row r="40" spans="1:5" x14ac:dyDescent="0.25">
      <c r="A40" t="s">
        <v>17</v>
      </c>
      <c r="B40" t="s">
        <v>20</v>
      </c>
      <c r="C40">
        <v>69.13</v>
      </c>
      <c r="D40">
        <v>1456</v>
      </c>
      <c r="E40">
        <v>2106</v>
      </c>
    </row>
    <row r="41" spans="1:5" x14ac:dyDescent="0.25">
      <c r="A41" t="s">
        <v>17</v>
      </c>
      <c r="B41" t="s">
        <v>21</v>
      </c>
      <c r="C41">
        <v>40.76</v>
      </c>
      <c r="D41">
        <v>1959</v>
      </c>
      <c r="E41">
        <v>4806</v>
      </c>
    </row>
    <row r="42" spans="1:5" x14ac:dyDescent="0.25">
      <c r="A42" t="s">
        <v>17</v>
      </c>
      <c r="B42" t="s">
        <v>22</v>
      </c>
      <c r="C42">
        <v>53.54</v>
      </c>
      <c r="D42">
        <v>1066</v>
      </c>
      <c r="E42">
        <v>1991</v>
      </c>
    </row>
    <row r="43" spans="1:5" x14ac:dyDescent="0.25">
      <c r="A43" t="s">
        <v>17</v>
      </c>
      <c r="B43" t="s">
        <v>23</v>
      </c>
      <c r="C43">
        <v>37.82</v>
      </c>
      <c r="D43">
        <v>753</v>
      </c>
      <c r="E43">
        <v>1991</v>
      </c>
    </row>
  </sheetData>
  <autoFilter ref="A1:E43" xr:uid="{B6B7A1B7-CC6A-4634-80FE-7DA3FB4478E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workbookViewId="0">
      <selection activeCell="A11" sqref="A11"/>
    </sheetView>
  </sheetViews>
  <sheetFormatPr baseColWidth="10" defaultRowHeight="15" x14ac:dyDescent="0.25"/>
  <cols>
    <col min="1" max="1" width="23.140625" customWidth="1"/>
    <col min="2" max="2" width="16.28515625" customWidth="1"/>
    <col min="6" max="6" width="13" customWidth="1"/>
    <col min="10" max="10" width="11.42578125" style="47"/>
    <col min="11" max="12" width="13.85546875" style="47" customWidth="1"/>
    <col min="13" max="13" width="11.42578125" style="47"/>
    <col min="16" max="16" width="14.28515625" customWidth="1"/>
  </cols>
  <sheetData>
    <row r="1" spans="1:16" ht="15.75" thickBot="1" x14ac:dyDescent="0.3"/>
    <row r="2" spans="1:16" ht="45.75" thickBot="1" x14ac:dyDescent="0.3">
      <c r="A2" s="1" t="s">
        <v>26</v>
      </c>
      <c r="B2" s="2" t="s">
        <v>27</v>
      </c>
      <c r="C2" s="3" t="s">
        <v>28</v>
      </c>
      <c r="D2" s="4" t="s">
        <v>30</v>
      </c>
      <c r="E2" s="5" t="s">
        <v>31</v>
      </c>
      <c r="F2" s="6" t="s">
        <v>29</v>
      </c>
      <c r="G2" s="7" t="s">
        <v>32</v>
      </c>
      <c r="H2" s="8" t="s">
        <v>33</v>
      </c>
      <c r="I2" s="49" t="s">
        <v>34</v>
      </c>
      <c r="J2" s="55" t="s">
        <v>71</v>
      </c>
      <c r="K2" s="55" t="s">
        <v>72</v>
      </c>
      <c r="L2" s="55" t="s">
        <v>74</v>
      </c>
      <c r="M2" s="55" t="s">
        <v>73</v>
      </c>
    </row>
    <row r="3" spans="1:16" ht="15.75" x14ac:dyDescent="0.25">
      <c r="A3" s="32" t="s">
        <v>55</v>
      </c>
      <c r="B3" s="10" t="s">
        <v>35</v>
      </c>
      <c r="C3" s="11" t="s">
        <v>36</v>
      </c>
      <c r="D3" s="15">
        <v>227</v>
      </c>
      <c r="E3" s="16">
        <v>51</v>
      </c>
      <c r="F3" s="17">
        <v>22.466960352422909</v>
      </c>
      <c r="G3" s="16">
        <v>189</v>
      </c>
      <c r="H3" s="16">
        <v>51</v>
      </c>
      <c r="I3" s="50">
        <v>26.984126984126984</v>
      </c>
      <c r="J3" s="56">
        <f>D3+G3</f>
        <v>416</v>
      </c>
      <c r="K3" s="56">
        <f>E3+H3</f>
        <v>102</v>
      </c>
      <c r="L3" s="57">
        <f>K3/J3</f>
        <v>0.24519230769230768</v>
      </c>
      <c r="M3" s="57">
        <f>((J3/4)/K3)</f>
        <v>1.0196078431372548</v>
      </c>
      <c r="N3" s="48"/>
      <c r="O3" s="18" t="s">
        <v>37</v>
      </c>
      <c r="P3" s="18" t="s">
        <v>38</v>
      </c>
    </row>
    <row r="4" spans="1:16" ht="30" x14ac:dyDescent="0.25">
      <c r="A4" s="9"/>
      <c r="B4" s="10" t="s">
        <v>39</v>
      </c>
      <c r="C4" s="11" t="s">
        <v>40</v>
      </c>
      <c r="D4" s="14">
        <v>50</v>
      </c>
      <c r="E4" s="12">
        <v>13</v>
      </c>
      <c r="F4" s="13">
        <v>26</v>
      </c>
      <c r="G4" s="12">
        <v>42</v>
      </c>
      <c r="H4" s="16">
        <v>16</v>
      </c>
      <c r="I4" s="50">
        <v>38.095238095238095</v>
      </c>
      <c r="J4" s="56">
        <f t="shared" ref="J4:J16" si="0">D4+G4</f>
        <v>92</v>
      </c>
      <c r="K4" s="56">
        <f t="shared" ref="K4:K16" si="1">E4+H4</f>
        <v>29</v>
      </c>
      <c r="L4" s="57">
        <f t="shared" ref="L4:L16" si="2">K4/J4</f>
        <v>0.31521739130434784</v>
      </c>
      <c r="M4" s="57">
        <f t="shared" ref="M4:M16" si="3">((J4/4)/K4)</f>
        <v>0.7931034482758621</v>
      </c>
      <c r="N4" s="48"/>
      <c r="O4" s="20" t="s">
        <v>41</v>
      </c>
      <c r="P4" s="21" t="s">
        <v>42</v>
      </c>
    </row>
    <row r="5" spans="1:16" ht="22.5" x14ac:dyDescent="0.25">
      <c r="A5" s="9"/>
      <c r="B5" s="10" t="s">
        <v>43</v>
      </c>
      <c r="C5" s="11" t="s">
        <v>44</v>
      </c>
      <c r="D5" s="14">
        <v>19</v>
      </c>
      <c r="E5" s="12">
        <v>4</v>
      </c>
      <c r="F5" s="22">
        <v>21.05263157894737</v>
      </c>
      <c r="G5" s="12">
        <v>15</v>
      </c>
      <c r="H5" s="16">
        <v>4</v>
      </c>
      <c r="I5" s="50">
        <v>26.666666666666668</v>
      </c>
      <c r="J5" s="56">
        <f t="shared" si="0"/>
        <v>34</v>
      </c>
      <c r="K5" s="56">
        <f t="shared" si="1"/>
        <v>8</v>
      </c>
      <c r="L5" s="57">
        <f t="shared" si="2"/>
        <v>0.23529411764705882</v>
      </c>
      <c r="M5" s="57">
        <f t="shared" si="3"/>
        <v>1.0625</v>
      </c>
      <c r="N5" s="48"/>
      <c r="O5" s="23" t="s">
        <v>45</v>
      </c>
      <c r="P5" s="24" t="s">
        <v>46</v>
      </c>
    </row>
    <row r="6" spans="1:16" ht="22.5" x14ac:dyDescent="0.25">
      <c r="A6" s="25"/>
      <c r="B6" s="10" t="s">
        <v>47</v>
      </c>
      <c r="C6" s="11" t="s">
        <v>48</v>
      </c>
      <c r="D6" s="14">
        <v>191</v>
      </c>
      <c r="E6" s="12">
        <v>37</v>
      </c>
      <c r="F6" s="19">
        <v>19.3717277486911</v>
      </c>
      <c r="G6" s="12">
        <v>193</v>
      </c>
      <c r="H6" s="16">
        <v>27</v>
      </c>
      <c r="I6" s="51">
        <v>13.989637305699482</v>
      </c>
      <c r="J6" s="56">
        <f t="shared" si="0"/>
        <v>384</v>
      </c>
      <c r="K6" s="56">
        <f t="shared" si="1"/>
        <v>64</v>
      </c>
      <c r="L6" s="57">
        <f t="shared" si="2"/>
        <v>0.16666666666666666</v>
      </c>
      <c r="M6" s="57">
        <f t="shared" si="3"/>
        <v>1.5</v>
      </c>
      <c r="N6" s="48"/>
      <c r="O6" s="26" t="s">
        <v>49</v>
      </c>
      <c r="P6" s="27" t="s">
        <v>50</v>
      </c>
    </row>
    <row r="7" spans="1:16" ht="23.25" thickBot="1" x14ac:dyDescent="0.3">
      <c r="A7" s="28"/>
      <c r="B7" s="10" t="s">
        <v>51</v>
      </c>
      <c r="C7" s="11" t="s">
        <v>52</v>
      </c>
      <c r="D7" s="14">
        <v>37</v>
      </c>
      <c r="E7" s="12">
        <v>4</v>
      </c>
      <c r="F7" s="29">
        <v>10.810810810810811</v>
      </c>
      <c r="G7" s="12">
        <v>42</v>
      </c>
      <c r="H7" s="16">
        <v>3</v>
      </c>
      <c r="I7" s="52">
        <v>7.1428571428571432</v>
      </c>
      <c r="J7" s="56">
        <f t="shared" si="0"/>
        <v>79</v>
      </c>
      <c r="K7" s="56">
        <f t="shared" si="1"/>
        <v>7</v>
      </c>
      <c r="L7" s="57">
        <f t="shared" si="2"/>
        <v>8.8607594936708861E-2</v>
      </c>
      <c r="M7" s="57">
        <f t="shared" si="3"/>
        <v>2.8214285714285716</v>
      </c>
      <c r="N7" s="48"/>
      <c r="O7" s="30" t="s">
        <v>53</v>
      </c>
      <c r="P7" s="31" t="s">
        <v>54</v>
      </c>
    </row>
    <row r="8" spans="1:16" ht="22.5" x14ac:dyDescent="0.25">
      <c r="A8" s="32"/>
      <c r="B8" s="58" t="s">
        <v>43</v>
      </c>
      <c r="C8" s="33" t="s">
        <v>56</v>
      </c>
      <c r="D8" s="14">
        <v>174</v>
      </c>
      <c r="E8" s="12">
        <v>50</v>
      </c>
      <c r="F8" s="13">
        <v>28.735632183908045</v>
      </c>
      <c r="G8" s="12">
        <v>231</v>
      </c>
      <c r="H8" s="16">
        <v>46</v>
      </c>
      <c r="I8" s="51">
        <v>19.913419913419915</v>
      </c>
      <c r="J8" s="56">
        <f t="shared" si="0"/>
        <v>405</v>
      </c>
      <c r="K8" s="56">
        <f t="shared" si="1"/>
        <v>96</v>
      </c>
      <c r="L8" s="57">
        <f t="shared" si="2"/>
        <v>0.23703703703703705</v>
      </c>
      <c r="M8" s="57">
        <f t="shared" si="3"/>
        <v>1.0546875</v>
      </c>
      <c r="N8" s="48"/>
      <c r="O8" s="34" t="s">
        <v>57</v>
      </c>
      <c r="P8" s="35" t="s">
        <v>58</v>
      </c>
    </row>
    <row r="9" spans="1:16" ht="25.5" customHeight="1" x14ac:dyDescent="0.25">
      <c r="B9" s="59"/>
      <c r="C9" s="36" t="s">
        <v>44</v>
      </c>
      <c r="D9" s="14">
        <v>69</v>
      </c>
      <c r="E9" s="12">
        <v>18</v>
      </c>
      <c r="F9" s="13">
        <v>26.086956521739129</v>
      </c>
      <c r="G9" s="12">
        <v>65</v>
      </c>
      <c r="H9" s="16">
        <v>14</v>
      </c>
      <c r="I9" s="53">
        <v>21.53846153846154</v>
      </c>
      <c r="J9" s="56">
        <f t="shared" si="0"/>
        <v>134</v>
      </c>
      <c r="K9" s="56">
        <f t="shared" si="1"/>
        <v>32</v>
      </c>
      <c r="L9" s="57">
        <f t="shared" si="2"/>
        <v>0.23880597014925373</v>
      </c>
      <c r="M9" s="57">
        <f t="shared" si="3"/>
        <v>1.046875</v>
      </c>
      <c r="N9" s="48"/>
      <c r="O9" s="37" t="s">
        <v>59</v>
      </c>
      <c r="P9" s="38" t="s">
        <v>60</v>
      </c>
    </row>
    <row r="10" spans="1:16" x14ac:dyDescent="0.25">
      <c r="B10" s="59"/>
      <c r="C10" s="36" t="s">
        <v>61</v>
      </c>
      <c r="D10" s="14">
        <v>10</v>
      </c>
      <c r="E10" s="12">
        <v>3</v>
      </c>
      <c r="F10" s="13">
        <v>30</v>
      </c>
      <c r="G10" s="12">
        <v>14</v>
      </c>
      <c r="H10" s="16">
        <v>6</v>
      </c>
      <c r="I10" s="50">
        <v>42.857142857142854</v>
      </c>
      <c r="J10" s="56">
        <f t="shared" si="0"/>
        <v>24</v>
      </c>
      <c r="K10" s="56">
        <f t="shared" si="1"/>
        <v>9</v>
      </c>
      <c r="L10" s="57">
        <f t="shared" si="2"/>
        <v>0.375</v>
      </c>
      <c r="M10" s="57">
        <f t="shared" si="3"/>
        <v>0.66666666666666663</v>
      </c>
      <c r="N10" s="48"/>
    </row>
    <row r="11" spans="1:16" ht="22.5" x14ac:dyDescent="0.25">
      <c r="B11" s="59"/>
      <c r="C11" s="36" t="s">
        <v>62</v>
      </c>
      <c r="D11" s="14">
        <v>12</v>
      </c>
      <c r="E11" s="12">
        <v>3</v>
      </c>
      <c r="F11" s="13">
        <v>25</v>
      </c>
      <c r="G11" s="12">
        <v>13</v>
      </c>
      <c r="H11" s="16">
        <v>2</v>
      </c>
      <c r="I11" s="51">
        <v>15.384615384615385</v>
      </c>
      <c r="J11" s="56">
        <f t="shared" si="0"/>
        <v>25</v>
      </c>
      <c r="K11" s="56">
        <f t="shared" si="1"/>
        <v>5</v>
      </c>
      <c r="L11" s="57">
        <f t="shared" si="2"/>
        <v>0.2</v>
      </c>
      <c r="M11" s="57">
        <f t="shared" si="3"/>
        <v>1.25</v>
      </c>
      <c r="N11" s="48"/>
    </row>
    <row r="12" spans="1:16" ht="15.75" thickBot="1" x14ac:dyDescent="0.3">
      <c r="B12" s="60"/>
      <c r="C12" s="39" t="s">
        <v>63</v>
      </c>
      <c r="D12" s="14">
        <v>51</v>
      </c>
      <c r="E12" s="12">
        <v>6</v>
      </c>
      <c r="F12" s="29">
        <v>11.764705882352942</v>
      </c>
      <c r="G12" s="12">
        <v>51</v>
      </c>
      <c r="H12" s="16">
        <v>8</v>
      </c>
      <c r="I12" s="51">
        <v>15.686274509803921</v>
      </c>
      <c r="J12" s="56">
        <f t="shared" si="0"/>
        <v>102</v>
      </c>
      <c r="K12" s="56">
        <f t="shared" si="1"/>
        <v>14</v>
      </c>
      <c r="L12" s="57">
        <f t="shared" si="2"/>
        <v>0.13725490196078433</v>
      </c>
      <c r="M12" s="57">
        <f t="shared" si="3"/>
        <v>1.8214285714285714</v>
      </c>
      <c r="N12" s="48"/>
    </row>
    <row r="13" spans="1:16" ht="22.5" x14ac:dyDescent="0.25">
      <c r="B13" s="10" t="s">
        <v>64</v>
      </c>
      <c r="C13" s="40" t="s">
        <v>65</v>
      </c>
      <c r="D13" s="14">
        <v>8</v>
      </c>
      <c r="E13" s="12">
        <v>0</v>
      </c>
      <c r="F13" s="29">
        <v>0</v>
      </c>
      <c r="G13" s="12">
        <v>12</v>
      </c>
      <c r="H13" s="16">
        <v>4</v>
      </c>
      <c r="I13" s="50">
        <v>33.333333333333336</v>
      </c>
      <c r="J13" s="56">
        <f t="shared" si="0"/>
        <v>20</v>
      </c>
      <c r="K13" s="56">
        <f t="shared" si="1"/>
        <v>4</v>
      </c>
      <c r="L13" s="57">
        <f t="shared" si="2"/>
        <v>0.2</v>
      </c>
      <c r="M13" s="57">
        <f t="shared" si="3"/>
        <v>1.25</v>
      </c>
      <c r="N13" s="48"/>
    </row>
    <row r="14" spans="1:16" ht="22.5" x14ac:dyDescent="0.25">
      <c r="B14" s="10" t="s">
        <v>66</v>
      </c>
      <c r="C14" s="11" t="s">
        <v>67</v>
      </c>
      <c r="D14" s="14">
        <v>8</v>
      </c>
      <c r="E14" s="12">
        <v>7</v>
      </c>
      <c r="F14" s="13">
        <v>87.5</v>
      </c>
      <c r="G14" s="12">
        <v>12</v>
      </c>
      <c r="H14" s="16">
        <v>0</v>
      </c>
      <c r="I14" s="52">
        <v>0</v>
      </c>
      <c r="J14" s="56">
        <f t="shared" si="0"/>
        <v>20</v>
      </c>
      <c r="K14" s="56">
        <f t="shared" si="1"/>
        <v>7</v>
      </c>
      <c r="L14" s="57">
        <f t="shared" si="2"/>
        <v>0.35</v>
      </c>
      <c r="M14" s="57">
        <f t="shared" si="3"/>
        <v>0.7142857142857143</v>
      </c>
      <c r="N14" s="48"/>
    </row>
    <row r="15" spans="1:16" ht="45" x14ac:dyDescent="0.25">
      <c r="B15" s="10" t="s">
        <v>68</v>
      </c>
      <c r="C15" s="41" t="s">
        <v>69</v>
      </c>
      <c r="D15" s="42">
        <v>12</v>
      </c>
      <c r="E15" s="12">
        <v>6</v>
      </c>
      <c r="F15" s="13">
        <v>50</v>
      </c>
      <c r="G15" s="12">
        <v>12</v>
      </c>
      <c r="H15" s="16">
        <v>7</v>
      </c>
      <c r="I15" s="50">
        <v>58.333333333333336</v>
      </c>
      <c r="J15" s="56">
        <f t="shared" si="0"/>
        <v>24</v>
      </c>
      <c r="K15" s="56">
        <f t="shared" si="1"/>
        <v>13</v>
      </c>
      <c r="L15" s="57">
        <f t="shared" si="2"/>
        <v>0.54166666666666663</v>
      </c>
      <c r="M15" s="57">
        <f t="shared" si="3"/>
        <v>0.46153846153846156</v>
      </c>
      <c r="N15" s="48"/>
    </row>
    <row r="16" spans="1:16" ht="27" customHeight="1" x14ac:dyDescent="0.25">
      <c r="B16" s="61" t="s">
        <v>70</v>
      </c>
      <c r="C16" s="62"/>
      <c r="D16" s="43">
        <v>868</v>
      </c>
      <c r="E16" s="44">
        <v>202</v>
      </c>
      <c r="F16" s="45">
        <v>23.271889400921658</v>
      </c>
      <c r="G16" s="46">
        <v>891</v>
      </c>
      <c r="H16" s="16">
        <v>188</v>
      </c>
      <c r="I16" s="54">
        <v>21.099887766554435</v>
      </c>
      <c r="J16" s="56">
        <f t="shared" si="0"/>
        <v>1759</v>
      </c>
      <c r="K16" s="56">
        <f t="shared" si="1"/>
        <v>390</v>
      </c>
      <c r="L16" s="57">
        <f t="shared" si="2"/>
        <v>0.22171688459351904</v>
      </c>
      <c r="M16" s="57">
        <f t="shared" si="3"/>
        <v>1.1275641025641026</v>
      </c>
      <c r="N16" s="48"/>
    </row>
  </sheetData>
  <autoFilter ref="A2:AF16" xr:uid="{00000000-0001-0000-0000-000000000000}"/>
  <mergeCells count="2">
    <mergeCell ref="B8:B12"/>
    <mergeCell ref="B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FACTORES DE RIESGO PIC  </vt:lpstr>
      <vt:lpstr>VACUNACION  VPH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Gonzalez</dc:creator>
  <cp:lastModifiedBy>Ruth Gonzalez</cp:lastModifiedBy>
  <dcterms:created xsi:type="dcterms:W3CDTF">2015-06-05T18:19:34Z</dcterms:created>
  <dcterms:modified xsi:type="dcterms:W3CDTF">2026-05-02T13:55:01Z</dcterms:modified>
</cp:coreProperties>
</file>