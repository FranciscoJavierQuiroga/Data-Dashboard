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/>
  <xr:revisionPtr revIDLastSave="0" documentId="13_ncr:1_{51CEE1A5-8121-4CA7-9E29-1A6E8E93E1FE}" xr6:coauthVersionLast="47" xr6:coauthVersionMax="47" xr10:uidLastSave="{00000000-0000-0000-0000-000000000000}"/>
  <bookViews>
    <workbookView xWindow="0" yWindow="720" windowWidth="20490" windowHeight="10080" tabRatio="776" firstSheet="4" activeTab="6" xr2:uid="{00000000-000D-0000-FFFF-FFFF00000000}"/>
  </bookViews>
  <sheets>
    <sheet name="Nueva EPS" sheetId="1" r:id="rId1"/>
    <sheet name="Sanitas" sheetId="2" r:id="rId2"/>
    <sheet name="Coosalud" sheetId="3" r:id="rId3"/>
    <sheet name="Famisanar" sheetId="4" r:id="rId4"/>
    <sheet name="Salud Total" sheetId="5" r:id="rId5"/>
    <sheet name="Proteger" sheetId="6" r:id="rId6"/>
    <sheet name="Consolidado" sheetId="7" r:id="rId7"/>
    <sheet name="MODELO INDICADORES " sheetId="10" r:id="rId8"/>
    <sheet name="Hoja2" sheetId="9" r:id="rId9"/>
    <sheet name="cumplimiento 5 años" sheetId="12" r:id="rId10"/>
    <sheet name="CCU - Mamografia" sheetId="11" r:id="rId11"/>
  </sheets>
  <definedNames>
    <definedName name="_xlnm._FilterDatabase" localSheetId="6" hidden="1">Consolidado!$A$1:$P$18</definedName>
    <definedName name="_xlnm._FilterDatabase" localSheetId="9" hidden="1">'cumplimiento 5 años'!$A$1:$H$57</definedName>
    <definedName name="_xlnm._FilterDatabase" localSheetId="7" hidden="1">'MODELO INDICADORES '!$A$1:$U$18</definedName>
    <definedName name="_xlnm._FilterDatabase" localSheetId="0" hidden="1">'Nueva EPS'!$A$1:$W$18</definedName>
    <definedName name="_xlnm._FilterDatabase" localSheetId="1" hidden="1">Sanitas!$A$1:$X$18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7" l="1"/>
  <c r="N2" i="7"/>
  <c r="O15" i="7"/>
  <c r="O18" i="7"/>
  <c r="O14" i="7"/>
  <c r="O13" i="7"/>
  <c r="O12" i="7"/>
  <c r="O11" i="7"/>
  <c r="O10" i="7"/>
  <c r="N9" i="7"/>
  <c r="O9" i="7"/>
  <c r="O8" i="7"/>
  <c r="O7" i="7"/>
  <c r="W6" i="6"/>
  <c r="O6" i="7"/>
  <c r="O5" i="7"/>
  <c r="O4" i="7"/>
  <c r="O3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2" i="7"/>
  <c r="F16" i="7"/>
  <c r="F13" i="7"/>
  <c r="F12" i="7"/>
  <c r="F11" i="7"/>
  <c r="F7" i="7"/>
  <c r="F8" i="7"/>
  <c r="F4" i="7"/>
  <c r="F2" i="7"/>
  <c r="H4" i="10"/>
  <c r="H7" i="10"/>
  <c r="F2" i="10"/>
  <c r="H2" i="10" s="1"/>
  <c r="W2" i="10" s="1"/>
  <c r="H7" i="1"/>
  <c r="V18" i="10"/>
  <c r="W18" i="10" s="1"/>
  <c r="V17" i="10"/>
  <c r="W17" i="10" s="1"/>
  <c r="V16" i="10"/>
  <c r="W16" i="10" s="1"/>
  <c r="H16" i="10"/>
  <c r="W15" i="10"/>
  <c r="V15" i="10"/>
  <c r="V14" i="10"/>
  <c r="W14" i="10" s="1"/>
  <c r="V13" i="10"/>
  <c r="W13" i="10" s="1"/>
  <c r="H13" i="10"/>
  <c r="V12" i="10"/>
  <c r="H12" i="10"/>
  <c r="V11" i="10"/>
  <c r="H11" i="10"/>
  <c r="V10" i="10"/>
  <c r="W10" i="10" s="1"/>
  <c r="V9" i="10"/>
  <c r="W9" i="10" s="1"/>
  <c r="V8" i="10"/>
  <c r="H8" i="10"/>
  <c r="W8" i="10" s="1"/>
  <c r="V7" i="10"/>
  <c r="V6" i="10"/>
  <c r="W6" i="10" s="1"/>
  <c r="V5" i="10"/>
  <c r="V4" i="10"/>
  <c r="W5" i="10" s="1"/>
  <c r="V3" i="10"/>
  <c r="W3" i="10" s="1"/>
  <c r="V2" i="10"/>
  <c r="V18" i="6"/>
  <c r="V17" i="6"/>
  <c r="V16" i="6"/>
  <c r="H16" i="6"/>
  <c r="V15" i="6"/>
  <c r="V14" i="6"/>
  <c r="V13" i="6"/>
  <c r="W13" i="6" s="1"/>
  <c r="M13" i="7" s="1"/>
  <c r="H13" i="6"/>
  <c r="V12" i="6"/>
  <c r="H12" i="6"/>
  <c r="V11" i="6"/>
  <c r="H11" i="6"/>
  <c r="V10" i="6"/>
  <c r="V9" i="6"/>
  <c r="V8" i="6"/>
  <c r="W8" i="6" s="1"/>
  <c r="M8" i="7" s="1"/>
  <c r="H8" i="6"/>
  <c r="V7" i="6"/>
  <c r="H7" i="6"/>
  <c r="V6" i="6"/>
  <c r="V5" i="6"/>
  <c r="V4" i="6"/>
  <c r="H4" i="6"/>
  <c r="V3" i="6"/>
  <c r="V2" i="6"/>
  <c r="H2" i="6"/>
  <c r="V18" i="5"/>
  <c r="V17" i="5"/>
  <c r="V16" i="5"/>
  <c r="H16" i="5"/>
  <c r="V15" i="5"/>
  <c r="V14" i="5"/>
  <c r="V13" i="5"/>
  <c r="W13" i="5" s="1"/>
  <c r="L13" i="7" s="1"/>
  <c r="H13" i="5"/>
  <c r="V12" i="5"/>
  <c r="H12" i="5"/>
  <c r="V11" i="5"/>
  <c r="W11" i="5" s="1"/>
  <c r="L11" i="7" s="1"/>
  <c r="H11" i="5"/>
  <c r="V10" i="5"/>
  <c r="V9" i="5"/>
  <c r="V8" i="5"/>
  <c r="H8" i="5"/>
  <c r="V7" i="5"/>
  <c r="H7" i="5"/>
  <c r="V6" i="5"/>
  <c r="V5" i="5"/>
  <c r="V4" i="5"/>
  <c r="H4" i="5"/>
  <c r="V3" i="5"/>
  <c r="V2" i="5"/>
  <c r="H2" i="5"/>
  <c r="V18" i="4"/>
  <c r="V17" i="4"/>
  <c r="V16" i="4"/>
  <c r="H16" i="4"/>
  <c r="V15" i="4"/>
  <c r="V14" i="4"/>
  <c r="V13" i="4"/>
  <c r="H13" i="4"/>
  <c r="V12" i="4"/>
  <c r="W12" i="4" s="1"/>
  <c r="H12" i="4"/>
  <c r="V11" i="4"/>
  <c r="H11" i="4"/>
  <c r="V10" i="4"/>
  <c r="V9" i="4"/>
  <c r="V8" i="4"/>
  <c r="H8" i="4"/>
  <c r="V7" i="4"/>
  <c r="H7" i="4"/>
  <c r="V6" i="4"/>
  <c r="V5" i="4"/>
  <c r="V4" i="4"/>
  <c r="H4" i="4"/>
  <c r="V3" i="4"/>
  <c r="V2" i="4"/>
  <c r="H2" i="4"/>
  <c r="V18" i="3"/>
  <c r="V17" i="3"/>
  <c r="V16" i="3"/>
  <c r="H16" i="3"/>
  <c r="V15" i="3"/>
  <c r="V14" i="3"/>
  <c r="V13" i="3"/>
  <c r="W13" i="3" s="1"/>
  <c r="J13" i="7" s="1"/>
  <c r="H13" i="3"/>
  <c r="V12" i="3"/>
  <c r="H12" i="3"/>
  <c r="V11" i="3"/>
  <c r="W11" i="3" s="1"/>
  <c r="J11" i="7" s="1"/>
  <c r="H11" i="3"/>
  <c r="V10" i="3"/>
  <c r="V9" i="3"/>
  <c r="V8" i="3"/>
  <c r="H8" i="3"/>
  <c r="V7" i="3"/>
  <c r="H7" i="3"/>
  <c r="V6" i="3"/>
  <c r="V5" i="3"/>
  <c r="V4" i="3"/>
  <c r="H4" i="3"/>
  <c r="V3" i="3"/>
  <c r="V2" i="3"/>
  <c r="W2" i="3" s="1"/>
  <c r="J2" i="7" s="1"/>
  <c r="H2" i="3"/>
  <c r="V18" i="2"/>
  <c r="V17" i="2"/>
  <c r="V16" i="2"/>
  <c r="H16" i="2"/>
  <c r="V15" i="2"/>
  <c r="V14" i="2"/>
  <c r="V13" i="2"/>
  <c r="H13" i="2"/>
  <c r="V12" i="2"/>
  <c r="H12" i="2"/>
  <c r="V11" i="2"/>
  <c r="H11" i="2"/>
  <c r="V10" i="2"/>
  <c r="V9" i="2"/>
  <c r="V8" i="2"/>
  <c r="H8" i="2"/>
  <c r="V7" i="2"/>
  <c r="H7" i="2"/>
  <c r="V6" i="2"/>
  <c r="V5" i="2"/>
  <c r="V4" i="2"/>
  <c r="H4" i="2"/>
  <c r="V3" i="2"/>
  <c r="V2" i="2"/>
  <c r="H2" i="2"/>
  <c r="H1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2" i="1"/>
  <c r="H16" i="1"/>
  <c r="H12" i="1"/>
  <c r="H11" i="1"/>
  <c r="H8" i="1"/>
  <c r="H4" i="1"/>
  <c r="H2" i="1"/>
  <c r="W18" i="5" l="1"/>
  <c r="L18" i="7" s="1"/>
  <c r="W17" i="5"/>
  <c r="L17" i="7" s="1"/>
  <c r="W15" i="5"/>
  <c r="L15" i="7" s="1"/>
  <c r="W14" i="5"/>
  <c r="L14" i="7" s="1"/>
  <c r="W10" i="5"/>
  <c r="L10" i="7" s="1"/>
  <c r="W8" i="5"/>
  <c r="L8" i="7" s="1"/>
  <c r="W9" i="5"/>
  <c r="L9" i="7" s="1"/>
  <c r="W5" i="5"/>
  <c r="L5" i="7" s="1"/>
  <c r="W3" i="5"/>
  <c r="L3" i="7" s="1"/>
  <c r="W6" i="5"/>
  <c r="L6" i="7" s="1"/>
  <c r="W15" i="3"/>
  <c r="J15" i="7" s="1"/>
  <c r="W8" i="3"/>
  <c r="J8" i="7" s="1"/>
  <c r="W3" i="3"/>
  <c r="J3" i="7" s="1"/>
  <c r="W9" i="3"/>
  <c r="J9" i="7" s="1"/>
  <c r="W10" i="3"/>
  <c r="J10" i="7" s="1"/>
  <c r="W18" i="6"/>
  <c r="M18" i="7" s="1"/>
  <c r="W17" i="6"/>
  <c r="M17" i="7" s="1"/>
  <c r="W15" i="6"/>
  <c r="M15" i="7" s="1"/>
  <c r="W14" i="6"/>
  <c r="M14" i="7" s="1"/>
  <c r="W9" i="6"/>
  <c r="M9" i="7" s="1"/>
  <c r="W10" i="6"/>
  <c r="M10" i="7" s="1"/>
  <c r="W7" i="6"/>
  <c r="M7" i="7" s="1"/>
  <c r="W5" i="6"/>
  <c r="M5" i="7" s="1"/>
  <c r="M6" i="7"/>
  <c r="W2" i="6"/>
  <c r="M2" i="7" s="1"/>
  <c r="W3" i="6"/>
  <c r="M3" i="7" s="1"/>
  <c r="W11" i="10"/>
  <c r="W12" i="10"/>
  <c r="W7" i="10"/>
  <c r="W2" i="5"/>
  <c r="L2" i="7" s="1"/>
  <c r="W12" i="2"/>
  <c r="W18" i="4"/>
  <c r="K18" i="7" s="1"/>
  <c r="W17" i="4"/>
  <c r="K17" i="7" s="1"/>
  <c r="O17" i="7" s="1"/>
  <c r="W15" i="4"/>
  <c r="W14" i="4"/>
  <c r="W10" i="4"/>
  <c r="W9" i="4"/>
  <c r="W5" i="4"/>
  <c r="W4" i="4"/>
  <c r="W6" i="4"/>
  <c r="W3" i="4"/>
  <c r="W18" i="3"/>
  <c r="J18" i="7" s="1"/>
  <c r="W16" i="3"/>
  <c r="J16" i="7" s="1"/>
  <c r="W17" i="3"/>
  <c r="J17" i="7" s="1"/>
  <c r="W14" i="3"/>
  <c r="J14" i="7" s="1"/>
  <c r="W5" i="3"/>
  <c r="J5" i="7" s="1"/>
  <c r="W6" i="3"/>
  <c r="J6" i="7" s="1"/>
  <c r="W4" i="3"/>
  <c r="J4" i="7" s="1"/>
  <c r="W18" i="1"/>
  <c r="W5" i="1"/>
  <c r="W3" i="1"/>
  <c r="W6" i="1"/>
  <c r="W17" i="2"/>
  <c r="W18" i="2"/>
  <c r="W15" i="2"/>
  <c r="W14" i="2"/>
  <c r="W10" i="2"/>
  <c r="W9" i="2"/>
  <c r="W4" i="2"/>
  <c r="W5" i="2"/>
  <c r="W6" i="2"/>
  <c r="W3" i="2"/>
  <c r="W12" i="6"/>
  <c r="M12" i="7" s="1"/>
  <c r="W12" i="5"/>
  <c r="L12" i="7" s="1"/>
  <c r="W13" i="4"/>
  <c r="W12" i="3"/>
  <c r="J12" i="7" s="1"/>
  <c r="W13" i="2"/>
  <c r="W16" i="6"/>
  <c r="M16" i="7" s="1"/>
  <c r="W16" i="5"/>
  <c r="L16" i="7" s="1"/>
  <c r="W11" i="6"/>
  <c r="M11" i="7" s="1"/>
  <c r="N11" i="7" s="1"/>
  <c r="W11" i="4"/>
  <c r="W11" i="2"/>
  <c r="W8" i="4"/>
  <c r="W8" i="2"/>
  <c r="W7" i="5"/>
  <c r="L7" i="7" s="1"/>
  <c r="W7" i="4"/>
  <c r="W7" i="3"/>
  <c r="J7" i="7" s="1"/>
  <c r="W7" i="2"/>
  <c r="W4" i="6"/>
  <c r="M4" i="7" s="1"/>
  <c r="W4" i="5"/>
  <c r="L4" i="7" s="1"/>
  <c r="W4" i="10"/>
  <c r="W2" i="4"/>
  <c r="W16" i="4"/>
  <c r="K16" i="7" s="1"/>
  <c r="O16" i="7" s="1"/>
  <c r="W2" i="2"/>
  <c r="W16" i="2"/>
  <c r="W14" i="1"/>
  <c r="W10" i="1"/>
  <c r="W17" i="1"/>
  <c r="W9" i="1"/>
  <c r="W15" i="1"/>
  <c r="W11" i="1"/>
  <c r="W16" i="1"/>
  <c r="W13" i="1"/>
  <c r="W12" i="1"/>
  <c r="W8" i="1"/>
  <c r="W7" i="1"/>
  <c r="W4" i="1"/>
  <c r="W2" i="1"/>
  <c r="N18" i="7"/>
  <c r="N13" i="7"/>
  <c r="N16" i="7" l="1"/>
  <c r="N15" i="7"/>
  <c r="N8" i="7"/>
  <c r="N10" i="7"/>
  <c r="N5" i="7"/>
  <c r="N6" i="7"/>
  <c r="N12" i="7"/>
  <c r="N4" i="7"/>
  <c r="N7" i="7"/>
</calcChain>
</file>

<file path=xl/sharedStrings.xml><?xml version="1.0" encoding="utf-8"?>
<sst xmlns="http://schemas.openxmlformats.org/spreadsheetml/2006/main" count="1155" uniqueCount="203">
  <si>
    <t>DT cervix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</si>
  <si>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</si>
  <si>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</si>
  <si>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</si>
  <si>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</si>
  <si>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</si>
  <si>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</si>
  <si>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</si>
  <si>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</si>
  <si>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</si>
  <si>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</si>
  <si>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</si>
  <si>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DT mama</t>
  </si>
  <si>
    <t>DT Prostata</t>
  </si>
  <si>
    <t>DT Colon y Recto</t>
  </si>
  <si>
    <t>sumatoria</t>
  </si>
  <si>
    <t>Cumplimiento</t>
  </si>
  <si>
    <t>Avance en el 
cumplimiento</t>
  </si>
  <si>
    <r>
      <t xml:space="preserve">Proporción de mujeres con citología anormal o citología de triage anormal a quienes se realizó </t>
    </r>
    <r>
      <rPr>
        <b/>
        <sz val="10"/>
        <color indexed="8"/>
        <rFont val="SansSerif"/>
      </rPr>
      <t>colposcopia y biopsia</t>
    </r>
  </si>
  <si>
    <r>
      <t>Proporción de hombres entre 50 y 75 años tamizados con</t>
    </r>
    <r>
      <rPr>
        <b/>
        <sz val="10"/>
        <color indexed="8"/>
        <rFont val="SansSerif"/>
      </rPr>
      <t xml:space="preserve"> PSA</t>
    </r>
  </si>
  <si>
    <r>
      <t>Proporción de hombres mayores de 50 años con tamizaje combinado para cáncer de próstata (</t>
    </r>
    <r>
      <rPr>
        <b/>
        <sz val="10"/>
        <color indexed="8"/>
        <rFont val="SansSerif"/>
      </rPr>
      <t>PSA y Tacto Recta</t>
    </r>
    <r>
      <rPr>
        <sz val="10"/>
        <color indexed="8"/>
        <rFont val="SansSerif"/>
      </rPr>
      <t>l)</t>
    </r>
  </si>
  <si>
    <r>
      <t>Proporción de hombres entre 50 y 75 años con</t>
    </r>
    <r>
      <rPr>
        <b/>
        <sz val="10"/>
        <color indexed="8"/>
        <rFont val="SansSerif"/>
      </rPr>
      <t xml:space="preserve"> tacto rectal</t>
    </r>
  </si>
  <si>
    <t>NUMERADOR</t>
  </si>
  <si>
    <t>PROGRAMA</t>
  </si>
  <si>
    <t>NOMBRE INDICADOR</t>
  </si>
  <si>
    <t>DENOMINADOR</t>
  </si>
  <si>
    <t>Total de mujeres entre 30 y 65 años afiliadas a la EAPB en el municipio</t>
  </si>
  <si>
    <t>Total de mujeres entre 25 y 29 años afiliadas a la EAPB en el municipio</t>
  </si>
  <si>
    <t>Total de mujeres entre 40 y 69 años afiliadas a la EAPB en el municipio</t>
  </si>
  <si>
    <t>Total de mujeres entre 50 y 69 años afiliadas a la EAPB en el municipio</t>
  </si>
  <si>
    <t>Total de mujeres con mamografía clasificada como BI-RADS 4 o superior, que requerían biopsia diagnóstica, durante el mismo período de medición.</t>
  </si>
  <si>
    <t>Total de hombres entre 50 y 75 años afiliados a la EAPB en el municipio</t>
  </si>
  <si>
    <t>Número de hombres con resultado anormal en pruebas de tamizaje para cáncer de próstata (PSA o tacto rectal) a quienes se les realizó biopsia de próstata durante el período de medición</t>
  </si>
  <si>
    <t>Total de hombres con resultado anormal en pruebas de tamizaje para cáncer de próstata durante el mismo período de medición, que según criterio clínico requerían biopsia prostática</t>
  </si>
  <si>
    <r>
      <t xml:space="preserve">Proporción de hombres con pruebas de tamizaje anormal a quienes se les realizó </t>
    </r>
    <r>
      <rPr>
        <b/>
        <sz val="10"/>
        <color rgb="FF000000"/>
        <rFont val="SansSerif"/>
      </rPr>
      <t>biopsia de próstata</t>
    </r>
  </si>
  <si>
    <t>Total de personas de 50 años o más con resultado positivo en la prueba de sangre oculta en materia fecal durante el mismo período de medición, que requerían colonoscopia diagnóstica según el lineamiento técnico</t>
  </si>
  <si>
    <r>
      <t xml:space="preserve">Proporción de personas mayores de 50 años con test de sangre oculta en materia fecal positivos a los que se les realizó </t>
    </r>
    <r>
      <rPr>
        <b/>
        <sz val="10"/>
        <color rgb="FF000000"/>
        <rFont val="SansSerif"/>
      </rPr>
      <t>colonoscopia</t>
    </r>
  </si>
  <si>
    <t>ENERO</t>
  </si>
  <si>
    <t>POBLACION  CORTE 31/12/2025</t>
  </si>
  <si>
    <t>Nueva EPS</t>
  </si>
  <si>
    <t>Sanitas</t>
  </si>
  <si>
    <t>Coosalud</t>
  </si>
  <si>
    <t>Famisanar</t>
  </si>
  <si>
    <t>Salud total</t>
  </si>
  <si>
    <t>Cajacopi</t>
  </si>
  <si>
    <t>Total de mujeres entre 30 y 65 años con resultado  de ADN -VPH durante el periodo en revision</t>
  </si>
  <si>
    <t xml:space="preserve">Número de mujeres entre 30 y 65 años con resultado positivo para ADN-VPH durante el período de medición. </t>
  </si>
  <si>
    <t>Total de mujeres con citología anormal o citología de triage anormal durante el mismo período de medición, requerían colposcopia y biopsia.</t>
  </si>
  <si>
    <t>Total de mujeres tamizadas con citologia cervico  uterina  o citologia de triage  en el periodo evaluado.</t>
  </si>
  <si>
    <r>
      <t xml:space="preserve"># Mujeres de 25 a 65 años   con </t>
    </r>
    <r>
      <rPr>
        <b/>
        <sz val="10"/>
        <rFont val="SansSerif"/>
      </rPr>
      <t>citologia cervico uterina</t>
    </r>
    <r>
      <rPr>
        <sz val="10"/>
        <color indexed="8"/>
        <rFont val="SansSerif"/>
      </rPr>
      <t xml:space="preserve"> anormal  o citologia  de triage anormal en el periodo evaluado. </t>
    </r>
  </si>
  <si>
    <t xml:space="preserve">Proporción de citologias anormales  en mujeres de 25 a 65 años  en el periodo evaluado. </t>
  </si>
  <si>
    <t>Proporción  de ADN VPH Positivo en el periodo evaluado</t>
  </si>
  <si>
    <t>Número de mujeres con resultado  colposcopia y biopsia cervical, durante el período de medición.</t>
  </si>
  <si>
    <r>
      <t xml:space="preserve">Proporción de mujeres entre 40 y 69 años tamizadas con </t>
    </r>
    <r>
      <rPr>
        <b/>
        <sz val="10"/>
        <color rgb="FF000000"/>
        <rFont val="SansSerif"/>
      </rPr>
      <t>examen clínico de la mama</t>
    </r>
    <r>
      <rPr>
        <sz val="10"/>
        <color indexed="8"/>
        <rFont val="SansSerif"/>
      </rPr>
      <t xml:space="preserve"> en el periodo evaluado</t>
    </r>
  </si>
  <si>
    <r>
      <t xml:space="preserve">Proporción de mujeres entre 50 y 69 años tamizadas para cáncer de mama con </t>
    </r>
    <r>
      <rPr>
        <b/>
        <sz val="10"/>
        <color rgb="FF000000"/>
        <rFont val="SansSerif"/>
      </rPr>
      <t>mamografía</t>
    </r>
    <r>
      <rPr>
        <sz val="10"/>
        <color indexed="8"/>
        <rFont val="SansSerif"/>
      </rPr>
      <t xml:space="preserve"> en el periodo evaluado.</t>
    </r>
  </si>
  <si>
    <t>Número de mujeres entre 50 y 69 años  a quienes se les realizó toma de mamografia.</t>
  </si>
  <si>
    <t xml:space="preserve">Total de mujeres entre 50 y 69 años con toma de mamografia </t>
  </si>
  <si>
    <r>
      <t xml:space="preserve">Proporción de mujeres entre 50 y 69 años tamizadas para cáncer de mama con reporte anormal  de </t>
    </r>
    <r>
      <rPr>
        <b/>
        <sz val="10"/>
        <color rgb="FF000000"/>
        <rFont val="SansSerif"/>
      </rPr>
      <t>mamografía</t>
    </r>
    <r>
      <rPr>
        <sz val="10"/>
        <color indexed="8"/>
        <rFont val="SansSerif"/>
      </rPr>
      <t xml:space="preserve"> en el periodo evaluado.</t>
    </r>
  </si>
  <si>
    <t xml:space="preserve">Proporción de mujeres con resultados de Biopsia de mama. </t>
  </si>
  <si>
    <t>Número de hombres entre 50 y 75 años  a quienes se les realizó tamizaje combinado (PSA y tacto rectal) durante el período de medición</t>
  </si>
  <si>
    <t>Total de hombres con alguna prueba de tamizacion para cáncer de prostata</t>
  </si>
  <si>
    <t>Numero de hombres con resultado  anormal de tamizacion para cancer de prostata en el periodo evaluado.</t>
  </si>
  <si>
    <t>Total de personas entre 50 y 75 años  en el municipio</t>
  </si>
  <si>
    <t>Número de personas entre 50 y 75 años a quienes se les realizó prueba de sangre oculta en materia fecal por método inmunoquímico.</t>
  </si>
  <si>
    <r>
      <t>Proporción de personas entre 50 y 75 años tamizadas para cáncer de colon y recto (</t>
    </r>
    <r>
      <rPr>
        <b/>
        <sz val="10"/>
        <color rgb="FF000000"/>
        <rFont val="SansSerif"/>
      </rPr>
      <t>sangre oculta en materia fecal</t>
    </r>
    <r>
      <rPr>
        <sz val="10"/>
        <color indexed="8"/>
        <rFont val="SansSerif"/>
      </rPr>
      <t xml:space="preserve"> con inmunoquímica)</t>
    </r>
  </si>
  <si>
    <t>Total de personas entre 50 y 75 años  con tamizaje de  sangre oculta en heces</t>
  </si>
  <si>
    <t>Total de personas entre 50 y 75 años  con tamizaje resultado positivo de   sangre oculta.</t>
  </si>
  <si>
    <t xml:space="preserve">Proporción de personas con pruebas anormal de sangre oculta en heces. </t>
  </si>
  <si>
    <t>Número de personas de 50 años o más con resultado positivo en la prueba de sangre oculta en materia fecal a quienes se les realizó colonoscopia diagnóstica posterior al resultado positivo, durante el período de medición</t>
  </si>
  <si>
    <r>
      <t xml:space="preserve"> Proporción de mujeres entre 25 y 29 años tamizadas para cáncer de cuello uterino con </t>
    </r>
    <r>
      <rPr>
        <b/>
        <sz val="10"/>
        <rFont val="SansSerif"/>
      </rPr>
      <t>citologia cervico uterina.</t>
    </r>
    <r>
      <rPr>
        <sz val="10"/>
        <rFont val="SansSerif"/>
      </rPr>
      <t xml:space="preserve"> </t>
    </r>
  </si>
  <si>
    <r>
      <t>Proporción de mujeres entre 30 y 65 años tamizadas para cáncer de cuello uterino con</t>
    </r>
    <r>
      <rPr>
        <b/>
        <sz val="10"/>
        <rFont val="SansSerif"/>
      </rPr>
      <t xml:space="preserve"> ADN-VPH</t>
    </r>
    <r>
      <rPr>
        <sz val="10"/>
        <rFont val="SansSerif"/>
      </rPr>
      <t>, según esquema en el periodo evaluado.</t>
    </r>
  </si>
  <si>
    <r>
      <t xml:space="preserve"># Mujeres de 25 a 29 años, con toma de </t>
    </r>
    <r>
      <rPr>
        <b/>
        <sz val="10"/>
        <rFont val="SansSerif"/>
      </rPr>
      <t>citologia cervico uterina</t>
    </r>
    <r>
      <rPr>
        <sz val="10"/>
        <color indexed="8"/>
        <rFont val="SansSerif"/>
      </rPr>
      <t xml:space="preserve">  en el periodo evaluado.</t>
    </r>
  </si>
  <si>
    <t># Mujeres de 30 a 65 años tamizadas con ADN VPH.</t>
  </si>
  <si>
    <t xml:space="preserve">Número de mujeres entre 40 y 69 años  a quienes se les realizó examen clínico de la mama en el periodo evaluado. </t>
  </si>
  <si>
    <t>Número de mujeres entre 50 y 69 años   con resultado de mamografia  BI-RADS 4 o más</t>
  </si>
  <si>
    <t>Número de mujeres con mamografía reportada como BI-RADS 4, o más quienes se les realizó biopsia, durante el período evaluado.</t>
  </si>
  <si>
    <t>Número de hombres entre 50 y 75 años a quienes se les realizó tacto rectal durante el período de medición</t>
  </si>
  <si>
    <t>Número de hombres entre 50 y 75 años  a quienes se les realizó PSA durante el período de medición</t>
  </si>
  <si>
    <t>Etiquetas de fila</t>
  </si>
  <si>
    <t>Total general</t>
  </si>
  <si>
    <t xml:space="preserve">TIPO INDICADOR </t>
  </si>
  <si>
    <t>COBERTURA CCU</t>
  </si>
  <si>
    <t>POSITIVIDAD CCU</t>
  </si>
  <si>
    <t>COBERTURA ADN VPH</t>
  </si>
  <si>
    <t>POSITIVIDAD ADN VPH</t>
  </si>
  <si>
    <t>COBERTURA COLPOSCOPIA Y  BIOPSIA</t>
  </si>
  <si>
    <t>COBERTURA EXAMEN CLINICO DE LA MAMA</t>
  </si>
  <si>
    <t>COBERTURA MAMOGRAFIA</t>
  </si>
  <si>
    <t>POSITIVIDAD MAMOGRAFIA</t>
  </si>
  <si>
    <t>COBERTURA BIOPSIA DE MAMA</t>
  </si>
  <si>
    <t>COBERTURA TACTO RECTAL</t>
  </si>
  <si>
    <t>COBERTURA PSA</t>
  </si>
  <si>
    <t>COBERTURA  (PSA   Y TACTO RECTAL)</t>
  </si>
  <si>
    <t xml:space="preserve">Proporción de hombres mayores de 50 años con tamizacion de cancer de prostata resultado anormal </t>
  </si>
  <si>
    <t>POSITIVDAD CANCER DE PROSTATA</t>
  </si>
  <si>
    <t>COBERTURA BIOPSIA DE PROSTATA</t>
  </si>
  <si>
    <t>COBERTURA TAMIZACION SANGRE OCULTA EN HECES</t>
  </si>
  <si>
    <t>POSITIVIDAD SANGRE OCULTA EN HECES</t>
  </si>
  <si>
    <t xml:space="preserve">COBERTUARA COLONOSCOPIA </t>
  </si>
  <si>
    <t xml:space="preserve">COBERTURA COLONOSCOPIA </t>
  </si>
  <si>
    <t xml:space="preserve">ESTIMACION </t>
  </si>
  <si>
    <t>LINEA BASE 2025</t>
  </si>
  <si>
    <t>META 
AÑO 2026</t>
  </si>
  <si>
    <t>41,45%</t>
  </si>
  <si>
    <t>ACUMULADO 
ACTIVIDADES</t>
  </si>
  <si>
    <t>% EJECUCION</t>
  </si>
  <si>
    <t>N/A</t>
  </si>
  <si>
    <t>POSITIVIDAD CANCER DE PROSTATA</t>
  </si>
  <si>
    <t>POBLACION  CORTE 31/12/2025 activos soogamoso</t>
  </si>
  <si>
    <t>46,69%</t>
  </si>
  <si>
    <t>43,01%</t>
  </si>
  <si>
    <t>48,53%</t>
  </si>
  <si>
    <t>24,65%</t>
  </si>
  <si>
    <t>45,44%</t>
  </si>
  <si>
    <t>64,71%</t>
  </si>
  <si>
    <t>75,6</t>
  </si>
  <si>
    <t>65,4%</t>
  </si>
  <si>
    <t>27,48%</t>
  </si>
  <si>
    <t>74,0%</t>
  </si>
  <si>
    <t>68,04%</t>
  </si>
  <si>
    <t>73,51%</t>
  </si>
  <si>
    <t>13,19%</t>
  </si>
  <si>
    <t>18,41%</t>
  </si>
  <si>
    <t>52,15%</t>
  </si>
  <si>
    <t>21,5%</t>
  </si>
  <si>
    <t>12,47%</t>
  </si>
  <si>
    <t>8,03%</t>
  </si>
  <si>
    <t>54,68%</t>
  </si>
  <si>
    <t>58,59%</t>
  </si>
  <si>
    <t>67,1%</t>
  </si>
  <si>
    <t>40,63%</t>
  </si>
  <si>
    <t>50,24%</t>
  </si>
  <si>
    <t>45,45%</t>
  </si>
  <si>
    <t>52,99%</t>
  </si>
  <si>
    <t>45,51%</t>
  </si>
  <si>
    <t>39,44%</t>
  </si>
  <si>
    <t>57,55%</t>
  </si>
  <si>
    <t>21,52%</t>
  </si>
  <si>
    <t>43,53%</t>
  </si>
  <si>
    <t>41,46%</t>
  </si>
  <si>
    <t>52,62%</t>
  </si>
  <si>
    <t>43,27%</t>
  </si>
  <si>
    <t>55,89%</t>
  </si>
  <si>
    <t>51,92%</t>
  </si>
  <si>
    <t>49,93%</t>
  </si>
  <si>
    <t>62,86%</t>
  </si>
  <si>
    <t>19,72%</t>
  </si>
  <si>
    <t>47,09%</t>
  </si>
  <si>
    <t>28,72%</t>
  </si>
  <si>
    <t>16,90%</t>
  </si>
  <si>
    <t>20,29%</t>
  </si>
  <si>
    <t>15,05%</t>
  </si>
  <si>
    <t>21,78%</t>
  </si>
  <si>
    <t>37,69%</t>
  </si>
  <si>
    <t>30,09%</t>
  </si>
  <si>
    <t>LINEA BASE 
2025</t>
  </si>
  <si>
    <t>SD</t>
  </si>
  <si>
    <t xml:space="preserve">Mamografia con birad 5 , ene l mes de febrero con servicio autorizado para biopsia sin  realizacioni de la misma  CC 24226148 . Meiby  Garnica de Neira </t>
  </si>
  <si>
    <t>No se tiene reporte de biopsia en hombres con tamizaje de prostata anormal</t>
  </si>
  <si>
    <t>Seguimiento 17/04/2026</t>
  </si>
  <si>
    <t xml:space="preserve">Solicitar a la lider nacional  para definir en el censo  los casos activos. </t>
  </si>
  <si>
    <t>Ala fecha no se cuenta con indicadoress finales del mes de marzo, los ingresados son premilinares.</t>
  </si>
  <si>
    <t>Seguimiento</t>
  </si>
  <si>
    <t>No se dispone de Indicadores del mes de marzo</t>
  </si>
  <si>
    <t xml:space="preserve">Paola Gallo </t>
  </si>
  <si>
    <t>Validar los resultados de ADN VPH para  identificar usuarias para CCU y Colposcopia</t>
  </si>
  <si>
    <t>Verificar de los resultados positivos de PSA , si se realizo biopsia</t>
  </si>
  <si>
    <t>1 caso Birad 5 . CC 23770324 biopsia de mama 03/03//2026 en manejo con Centro Cancerologico  de Boyaca</t>
  </si>
  <si>
    <t>no se tiene realizacion de colonoscopia, ante resultados de SOMF positivos</t>
  </si>
  <si>
    <t>POBLACION REPORTADA POR LA EPS</t>
  </si>
  <si>
    <t>Pacientes con citologia anormal sin reporte de colposcopia</t>
  </si>
  <si>
    <t>falta indicadoress  mes de marzo</t>
  </si>
  <si>
    <t xml:space="preserve">En el mes de febrero cambio de prestador </t>
  </si>
  <si>
    <t>No se cuenta con soporte de biopsia para pacientes positivos por PSA</t>
  </si>
  <si>
    <t>No se cuenta con reportees de colonoscopia para usuarios con SOMF positivos</t>
  </si>
  <si>
    <t>Tamizacion cancer de colon y recto</t>
  </si>
  <si>
    <t>NUEVA EPS</t>
  </si>
  <si>
    <t>SANITAS</t>
  </si>
  <si>
    <t>COOSALUD</t>
  </si>
  <si>
    <t xml:space="preserve">SALUD TOTAL </t>
  </si>
  <si>
    <t>PROTEGER</t>
  </si>
  <si>
    <t>FAMISANAR</t>
  </si>
  <si>
    <t>EPS</t>
  </si>
  <si>
    <t>11,1%</t>
  </si>
  <si>
    <t xml:space="preserve">INDICADOR </t>
  </si>
  <si>
    <t xml:space="preserve">TOTAL MUNICIPIO </t>
  </si>
  <si>
    <t xml:space="preserve">Tamizaje cancer de cuello uterino </t>
  </si>
  <si>
    <t>Tamizaje cancer de cuello uterino - citologia</t>
  </si>
  <si>
    <t>Tamizaje cancer de cuello uterino - ADN VPH</t>
  </si>
  <si>
    <t>Tamizaje cancer de mama</t>
  </si>
  <si>
    <t>Tamizaje cancer de prostata</t>
  </si>
  <si>
    <t>Tamizaje cancer de prostata-PSA</t>
  </si>
  <si>
    <t xml:space="preserve">Tamizaje cancer de prostata- tato rectal </t>
  </si>
  <si>
    <t xml:space="preserve">Tendencia </t>
  </si>
  <si>
    <t>Enero</t>
  </si>
  <si>
    <t>Febrero</t>
  </si>
  <si>
    <t>Marzo</t>
  </si>
  <si>
    <t>Salud Total</t>
  </si>
  <si>
    <t>Proteger</t>
  </si>
  <si>
    <t xml:space="preserve">EPS </t>
  </si>
  <si>
    <t>24 
preliminar</t>
  </si>
  <si>
    <t xml:space="preserve">  Citologia cervico uterina  en mujeres entre 25 a 29 años</t>
  </si>
  <si>
    <t>Mamografía mujeres entre 50 y 69 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</si>
</sst>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0"/>
      <color indexed="8"/>
      <name val="SansSerif"/>
    </font>
    <font>
      <b/>
      <sz val="10"/>
      <color indexed="8"/>
      <name val="SansSerif"/>
    </font>
    <font>
      <sz val="10"/>
      <name val="SansSerif"/>
    </font>
    <font>
      <b/>
      <sz val="10"/>
      <color rgb="FF000000"/>
      <name val="SansSerif"/>
    </font>
    <font>
      <b/>
      <sz val="9"/>
      <color theme="0"/>
      <name val="SansSerif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SansSerif"/>
    </font>
    <font>
      <sz val="11"/>
      <name val="Calibri"/>
      <family val="2"/>
      <scheme val="minor"/>
    </font>
    <font>
      <b/>
      <sz val="10"/>
      <name val="SansSerif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SansSerif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3DD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77">
    <xf numFmtId="0" fontId="0" fillId="0" borderId="0" xfId="0"/>
    <xf numFmtId="0" fontId="1" fillId="4" borderId="1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2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9" fillId="0" borderId="0" xfId="0" applyFont="1"/>
    <xf numFmtId="0" fontId="1" fillId="2" borderId="7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11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" fontId="15" fillId="5" borderId="2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horizontal="left" vertical="top" wrapText="1"/>
    </xf>
    <xf numFmtId="0" fontId="1" fillId="4" borderId="12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11" fillId="6" borderId="2" xfId="0" applyFont="1" applyFill="1" applyBorder="1" applyAlignment="1">
      <alignment horizontal="center" vertical="center"/>
    </xf>
    <xf numFmtId="14" fontId="6" fillId="0" borderId="0" xfId="0" applyNumberFormat="1" applyFont="1"/>
    <xf numFmtId="10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0" fontId="0" fillId="0" borderId="0" xfId="0" applyNumberFormat="1"/>
    <xf numFmtId="1" fontId="15" fillId="7" borderId="2" xfId="0" applyNumberFormat="1" applyFont="1" applyFill="1" applyBorder="1" applyAlignment="1">
      <alignment horizontal="center" vertical="center" wrapText="1"/>
    </xf>
    <xf numFmtId="10" fontId="0" fillId="0" borderId="0" xfId="1" applyNumberFormat="1" applyFont="1"/>
    <xf numFmtId="1" fontId="3" fillId="7" borderId="4" xfId="0" applyNumberFormat="1" applyFont="1" applyFill="1" applyBorder="1" applyAlignment="1">
      <alignment horizontal="center" vertical="top" wrapText="1"/>
    </xf>
    <xf numFmtId="1" fontId="3" fillId="7" borderId="10" xfId="0" applyNumberFormat="1" applyFont="1" applyFill="1" applyBorder="1" applyAlignment="1">
      <alignment horizontal="center" vertical="top" wrapText="1"/>
    </xf>
    <xf numFmtId="1" fontId="3" fillId="7" borderId="1" xfId="0" applyNumberFormat="1" applyFont="1" applyFill="1" applyBorder="1" applyAlignment="1">
      <alignment horizontal="center" vertical="top" wrapText="1"/>
    </xf>
    <xf numFmtId="0" fontId="16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 vertical="center" wrapText="1"/>
    </xf>
    <xf numFmtId="9" fontId="11" fillId="4" borderId="2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9" fontId="11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9" fontId="11" fillId="0" borderId="2" xfId="1" applyFont="1" applyBorder="1" applyAlignment="1">
      <alignment horizontal="center" vertical="center"/>
    </xf>
    <xf numFmtId="9" fontId="0" fillId="6" borderId="2" xfId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top" wrapText="1"/>
    </xf>
    <xf numFmtId="0" fontId="2" fillId="8" borderId="2" xfId="0" applyFont="1" applyFill="1" applyBorder="1" applyAlignment="1">
      <alignment horizontal="center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E3DD"/>
      <color rgb="FFFFE7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127.689742476854" createdVersion="8" refreshedVersion="8" minRefreshableVersion="3" recordCount="17" xr:uid="{5AB837BC-6141-438C-9BB6-7FE8FBFC8DCB}">
  <cacheSource type="worksheet">
    <worksheetSource ref="A1:P18" sheet="Consolidado"/>
  </cacheSource>
  <cacheFields count="15">
    <cacheField name="PROGRAMA" numFmtId="0">
      <sharedItems count="4">
        <s v="DT cervix"/>
        <s v="DT mama"/>
        <s v="DT Prostata"/>
        <s v="DT Colon y Recto"/>
      </sharedItems>
    </cacheField>
    <cacheField name="TIPO INDICADOR " numFmtId="0">
      <sharedItems count="17">
        <s v="COBERTURA CCU"/>
        <s v="POSITIVIDAD CCU"/>
        <s v="COBERTURA ADN VPH"/>
        <s v="POSITIVIDAD ADN VPH"/>
        <s v="COBERTURA COLPOSCOPIA Y  BIOPSIA"/>
        <s v="COBERTURA EXAMEN CLINICO DE LA MAMA"/>
        <s v="COBERTURA MAMOGRAFIA"/>
        <s v="POSITIVIDAD MAMOGRAFIA"/>
        <s v="COBERTURA BIOPSIA DE MAMA"/>
        <s v="COBERTURA TACTO RECTAL"/>
        <s v="COBERTURA PSA"/>
        <s v="COBERTURA  (PSA   Y TACTO RECTAL)"/>
        <s v="POSITIVDAD CANCER DE PROSTATA"/>
        <s v="COBERTURA BIOPSIA DE PROSTATA"/>
        <s v="COBERTURA TAMIZACION SANGRE OCULTA EN HECES"/>
        <s v="POSITIVIDAD SANGRE OCULTA EN HECES"/>
        <s v="COBERTUARA COLONOSCOPIA "/>
      </sharedItems>
    </cacheField>
    <cacheField name="NOMBRE INDICADOR" numFmtId="0">
      <sharedItems/>
    </cacheField>
    <cacheField name="NUMERADOR" numFmtId="0">
      <sharedItems/>
    </cacheField>
    <cacheField name="DENOMINADOR" numFmtId="0">
      <sharedItems/>
    </cacheField>
    <cacheField name="POBLACION  CORTE 31/12/2025" numFmtId="0">
      <sharedItems containsNonDate="0" containsString="0" containsBlank="1"/>
    </cacheField>
    <cacheField name="Nueva EPS" numFmtId="0">
      <sharedItems containsNonDate="0" containsString="0" containsBlank="1"/>
    </cacheField>
    <cacheField name="Sanitas" numFmtId="0">
      <sharedItems containsNonDate="0" containsString="0" containsBlank="1"/>
    </cacheField>
    <cacheField name="Coosalud" numFmtId="0">
      <sharedItems containsNonDate="0" containsString="0" containsBlank="1"/>
    </cacheField>
    <cacheField name="Famisanar" numFmtId="0">
      <sharedItems containsNonDate="0" containsString="0" containsBlank="1"/>
    </cacheField>
    <cacheField name="Salud total" numFmtId="0">
      <sharedItems containsNonDate="0" containsString="0" containsBlank="1"/>
    </cacheField>
    <cacheField name="Cajacopi" numFmtId="0">
      <sharedItems containsNonDate="0" containsString="0" containsBlank="1"/>
    </cacheField>
    <cacheField name="sumatoria" numFmtId="2">
      <sharedItems containsString="0" containsBlank="1" containsNumber="1" containsInteger="1" minValue="0" maxValue="0"/>
    </cacheField>
    <cacheField name="Avance en el _x000a_cumplimiento" numFmtId="2">
      <sharedItems containsBlank="1"/>
    </cacheField>
    <cacheField name="Cumplimient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s v=" Proporción de mujeres entre 25 y 29 años tamizadas para cáncer de cuello uterino con citologia cervico uterina. "/>
    <s v="# Mujeres de 25 a 29 años, con toma de citologia cervico uterina  en el periodo evaluado."/>
    <s v="Total de mujeres entre 25 y 29 años afiliadas a la EAPB en el municipio"/>
    <m/>
    <m/>
    <m/>
    <m/>
    <m/>
    <m/>
    <m/>
    <n v="0"/>
    <e v="#REF!"/>
    <m/>
  </r>
  <r>
    <x v="0"/>
    <x v="1"/>
    <s v="Proporción de citologias anormales  en mujeres de 25 a 65 años  en el periodo evaluado. "/>
    <s v="# Mujeres de 25 a 65 años   con citologia cervico uterina anormal  o citologia  de triage anormal en el periodo evaluado. "/>
    <s v="Total de mujeres tamizadas con citologia cervico  uterina  o citologia de triage  en el periodo evaluado."/>
    <m/>
    <m/>
    <m/>
    <m/>
    <m/>
    <m/>
    <m/>
    <m/>
    <m/>
    <m/>
  </r>
  <r>
    <x v="0"/>
    <x v="2"/>
    <s v="Proporción de mujeres entre 30 y 65 años tamizadas para cáncer de cuello uterino con ADN-VPH, según esquema en el periodo evaluado."/>
    <s v="# Mujeres de 30 a 65 años tamizadas con ADN VPH."/>
    <s v="Total de mujeres entre 30 y 65 años afiliadas a la EAPB en el municipio"/>
    <m/>
    <m/>
    <m/>
    <m/>
    <m/>
    <m/>
    <m/>
    <n v="0"/>
    <e v="#REF!"/>
    <m/>
  </r>
  <r>
    <x v="0"/>
    <x v="3"/>
    <s v="Proporción  de ADN VPH Positivo en el periodo evaluado"/>
    <s v="Número de mujeres entre 30 y 65 años con resultado positivo para ADN-VPH durante el período de medición. "/>
    <s v="Total de mujeres entre 30 y 65 años con resultado  de ADN -VPH durante el periodo en revision"/>
    <m/>
    <m/>
    <m/>
    <m/>
    <m/>
    <m/>
    <m/>
    <n v="0"/>
    <e v="#REF!"/>
    <m/>
  </r>
  <r>
    <x v="0"/>
    <x v="4"/>
    <s v="Proporción de mujeres con citología anormal o citología de triage anormal a quienes se realizó colposcopia y biopsia"/>
    <s v="Número de mujeres con resultado  colposcopia y biopsia cervical, durante el período de medición."/>
    <s v="Total de mujeres con citología anormal o citología de triage anormal durante el mismo período de medición, requerían colposcopia y biopsia."/>
    <m/>
    <m/>
    <m/>
    <m/>
    <m/>
    <m/>
    <m/>
    <n v="0"/>
    <e v="#REF!"/>
    <m/>
  </r>
  <r>
    <x v="1"/>
    <x v="5"/>
    <s v="Proporción de mujeres entre 40 y 69 años tamizadas con examen clínico de la mama en el periodo evaluado"/>
    <s v="Número de mujeres entre 40 y 69 años  a quienes se les realizó examen clínico de la mama en el periodo evaluado. "/>
    <s v="Total de mujeres entre 40 y 69 años afiliadas a la EAPB en el municipio"/>
    <m/>
    <m/>
    <m/>
    <m/>
    <m/>
    <m/>
    <m/>
    <n v="0"/>
    <e v="#REF!"/>
    <m/>
  </r>
  <r>
    <x v="1"/>
    <x v="6"/>
    <s v="Proporción de mujeres entre 50 y 69 años tamizadas para cáncer de mama con mamografía en el periodo evaluado."/>
    <s v="Número de mujeres entre 50 y 69 años  a quienes se les realizó toma de mamografia."/>
    <s v="Total de mujeres entre 50 y 69 años afiliadas a la EAPB en el municipio"/>
    <m/>
    <m/>
    <m/>
    <m/>
    <m/>
    <m/>
    <m/>
    <n v="0"/>
    <e v="#REF!"/>
    <m/>
  </r>
  <r>
    <x v="1"/>
    <x v="7"/>
    <s v="Proporción de mujeres entre 50 y 69 años tamizadas para cáncer de mama con reporte anormal  de mamografía en el periodo evaluado."/>
    <s v="Número de mujeres entre 50 y 69 años   con resultado de mamografia  BI-RADS 4 o más"/>
    <s v="Total de mujeres entre 50 y 69 años con toma de mamografia "/>
    <m/>
    <m/>
    <m/>
    <m/>
    <m/>
    <m/>
    <m/>
    <m/>
    <m/>
    <m/>
  </r>
  <r>
    <x v="1"/>
    <x v="8"/>
    <s v="Proporción de mujeres con resultados de Biopsia de mama. "/>
    <s v="Número de mujeres con mamografía reportada como BI-RADS 4, o más quienes se les realizó biopsia, durante el período evaluado."/>
    <s v="Total de mujeres con mamografía clasificada como BI-RADS 4 o superior, que requerían biopsia diagnóstica, durante el mismo período de medición."/>
    <m/>
    <m/>
    <m/>
    <m/>
    <m/>
    <m/>
    <m/>
    <n v="0"/>
    <e v="#REF!"/>
    <m/>
  </r>
  <r>
    <x v="2"/>
    <x v="9"/>
    <s v="Proporción de hombres entre 50 y 75 años con tacto rectal"/>
    <s v="Número de hombres entre 50 y 75 años a quienes se les realizó tacto rectal durante el período de medición"/>
    <s v="Total de hombres entre 50 y 75 años afiliados a la EAPB en el municipio"/>
    <m/>
    <m/>
    <m/>
    <m/>
    <m/>
    <m/>
    <m/>
    <n v="0"/>
    <e v="#REF!"/>
    <m/>
  </r>
  <r>
    <x v="2"/>
    <x v="10"/>
    <s v="Proporción de hombres entre 50 y 75 años tamizados con PSA"/>
    <s v="Número de hombres entre 50 y 75 años  a quienes se les realizó PSA durante el período de medición"/>
    <s v="Total de hombres entre 50 y 75 años afiliados a la EAPB en el municipio"/>
    <m/>
    <m/>
    <m/>
    <m/>
    <m/>
    <m/>
    <m/>
    <n v="0"/>
    <e v="#REF!"/>
    <m/>
  </r>
  <r>
    <x v="2"/>
    <x v="11"/>
    <s v="Proporción de hombres mayores de 50 años con tamizaje combinado para cáncer de próstata (PSA y Tacto Rectal)"/>
    <s v="Número de hombres entre 50 y 75 años  a quienes se les realizó tamizaje combinado (PSA y tacto rectal) durante el período de medición"/>
    <s v="Total de hombres entre 50 y 75 años afiliados a la EAPB en el municipio"/>
    <m/>
    <m/>
    <m/>
    <m/>
    <m/>
    <m/>
    <m/>
    <n v="0"/>
    <e v="#REF!"/>
    <m/>
  </r>
  <r>
    <x v="2"/>
    <x v="12"/>
    <s v="Proporción de hombres mayores de 50 años con tamizacion de cancer de prostata resultado anormal "/>
    <s v="Numero de hombres con resultado  anormal de tamizacion para cancer de prostata en el periodo evaluado."/>
    <s v="Total de hombres con alguna prueba de tamizacion para cáncer de prostata"/>
    <m/>
    <m/>
    <m/>
    <m/>
    <m/>
    <m/>
    <m/>
    <m/>
    <m/>
    <m/>
  </r>
  <r>
    <x v="2"/>
    <x v="13"/>
    <s v="Proporción de hombres con pruebas de tamizaje anormal a quienes se les realizó biopsia de próstata"/>
    <s v="Número de hombres con resultado anormal en pruebas de tamizaje para cáncer de próstata (PSA o tacto rectal) a quienes se les realizó biopsia de próstata durante el período de medición"/>
    <s v="Total de hombres con resultado anormal en pruebas de tamizaje para cáncer de próstata durante el mismo período de medición, que según criterio clínico requerían biopsia prostática"/>
    <m/>
    <m/>
    <m/>
    <m/>
    <m/>
    <m/>
    <m/>
    <n v="0"/>
    <e v="#REF!"/>
    <m/>
  </r>
  <r>
    <x v="3"/>
    <x v="14"/>
    <s v="Proporción de personas entre 50 y 75 años tamizadas para cáncer de colon y recto (sangre oculta en materia fecal con inmunoquímica)"/>
    <s v="Número de personas entre 50 y 75 años a quienes se les realizó prueba de sangre oculta en materia fecal por método inmunoquímico."/>
    <s v="Total de personas entre 50 y 75 años  en el municipio"/>
    <m/>
    <m/>
    <m/>
    <m/>
    <m/>
    <m/>
    <m/>
    <n v="0"/>
    <e v="#REF!"/>
    <m/>
  </r>
  <r>
    <x v="3"/>
    <x v="15"/>
    <s v="Proporción de personas con pruebas anormal de sangre oculta en heces. "/>
    <s v="Total de personas entre 50 y 75 años  con tamizaje resultado positivo de   sangre oculta."/>
    <s v="Total de personas entre 50 y 75 años  con tamizaje de  sangre oculta en heces"/>
    <m/>
    <m/>
    <m/>
    <m/>
    <m/>
    <m/>
    <m/>
    <m/>
    <m/>
    <m/>
  </r>
  <r>
    <x v="3"/>
    <x v="16"/>
    <s v="Proporción de personas mayores de 50 años con test de sangre oculta en materia fecal positivos a los que se les realizó colonoscopia"/>
    <s v="Número de personas de 50 años o más con resultado positivo en la prueba de sangre oculta en materia fecal a quienes se les realizó colonoscopia diagnóstica posterior al resultado positivo, durante el período de medición"/>
    <s v="Total de personas de 50 años o más con resultado positivo en la prueba de sangre oculta en materia fecal durante el mismo período de medición, que requerían colonoscopia diagnóstica según el lineamiento técnico"/>
    <m/>
    <m/>
    <m/>
    <m/>
    <m/>
    <m/>
    <m/>
    <n v="0"/>
    <e v="#REF!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0B3F8-A770-4F34-94AA-69DA9AF8A41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25" firstHeaderRow="1" firstDataRow="1" firstDataCol="1"/>
  <pivotFields count="15"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18">
        <item x="16"/>
        <item x="11"/>
        <item x="2"/>
        <item x="8"/>
        <item x="13"/>
        <item x="0"/>
        <item x="4"/>
        <item x="5"/>
        <item x="6"/>
        <item x="10"/>
        <item x="9"/>
        <item x="14"/>
        <item x="12"/>
        <item x="3"/>
        <item x="1"/>
        <item x="7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22">
    <i>
      <x/>
    </i>
    <i r="1">
      <x v="2"/>
    </i>
    <i r="1">
      <x v="5"/>
    </i>
    <i r="1">
      <x v="6"/>
    </i>
    <i r="1">
      <x v="13"/>
    </i>
    <i r="1">
      <x v="14"/>
    </i>
    <i>
      <x v="1"/>
    </i>
    <i r="1">
      <x/>
    </i>
    <i r="1">
      <x v="11"/>
    </i>
    <i r="1">
      <x v="16"/>
    </i>
    <i>
      <x v="2"/>
    </i>
    <i r="1">
      <x v="3"/>
    </i>
    <i r="1">
      <x v="7"/>
    </i>
    <i r="1">
      <x v="8"/>
    </i>
    <i r="1">
      <x v="15"/>
    </i>
    <i>
      <x v="3"/>
    </i>
    <i r="1">
      <x v="1"/>
    </i>
    <i r="1">
      <x v="4"/>
    </i>
    <i r="1">
      <x v="9"/>
    </i>
    <i r="1">
      <x v="10"/>
    </i>
    <i r="1"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X27"/>
  <sheetViews>
    <sheetView zoomScale="85" zoomScaleNormal="85" workbookViewId="0">
      <pane ySplit="1" topLeftCell="A2" activePane="bottomLeft" state="frozen"/>
      <selection activeCell="B1" sqref="B1"/>
      <selection pane="bottomLeft" activeCell="D6" sqref="D6"/>
    </sheetView>
  </sheetViews>
  <sheetFormatPr baseColWidth="10" defaultColWidth="9.140625" defaultRowHeight="12.75"/>
  <cols>
    <col min="1" max="1" width="11.5703125" style="12" customWidth="1"/>
    <col min="2" max="2" width="15.85546875" style="12" customWidth="1"/>
    <col min="3" max="3" width="37.5703125" style="12" customWidth="1"/>
    <col min="4" max="4" width="34.5703125" style="12" customWidth="1"/>
    <col min="5" max="5" width="33.42578125" style="12" customWidth="1"/>
    <col min="6" max="6" width="18" style="12" customWidth="1"/>
    <col min="7" max="8" width="14.140625" style="11" customWidth="1"/>
    <col min="9" max="9" width="14.85546875" style="12" customWidth="1"/>
    <col min="10" max="12" width="9.42578125" style="12" customWidth="1"/>
    <col min="13" max="14" width="9.42578125" style="12" hidden="1" customWidth="1"/>
    <col min="15" max="15" width="9.7109375" style="12" hidden="1" customWidth="1"/>
    <col min="16" max="16" width="9.140625" style="12" hidden="1" customWidth="1"/>
    <col min="17" max="17" width="12.42578125" style="12" hidden="1" customWidth="1"/>
    <col min="18" max="18" width="11.42578125" style="12" hidden="1" customWidth="1"/>
    <col min="19" max="19" width="9.140625" style="12" hidden="1" customWidth="1"/>
    <col min="20" max="20" width="10.85546875" style="12" hidden="1" customWidth="1"/>
    <col min="21" max="21" width="11.7109375" style="12" hidden="1" customWidth="1"/>
    <col min="22" max="22" width="15.5703125" style="12" customWidth="1"/>
    <col min="23" max="16384" width="9.140625" style="12"/>
  </cols>
  <sheetData>
    <row r="1" spans="1:24" s="18" customFormat="1" ht="24">
      <c r="A1" s="14" t="s">
        <v>23</v>
      </c>
      <c r="B1" s="14" t="s">
        <v>80</v>
      </c>
      <c r="C1" s="15" t="s">
        <v>24</v>
      </c>
      <c r="D1" s="15" t="s">
        <v>22</v>
      </c>
      <c r="E1" s="15" t="s">
        <v>25</v>
      </c>
      <c r="F1" s="51" t="s">
        <v>38</v>
      </c>
      <c r="G1" s="16" t="s">
        <v>100</v>
      </c>
      <c r="H1" s="16" t="s">
        <v>102</v>
      </c>
      <c r="I1" s="16" t="s">
        <v>155</v>
      </c>
      <c r="J1" s="17" t="s">
        <v>37</v>
      </c>
      <c r="K1" s="17" t="s">
        <v>1</v>
      </c>
      <c r="L1" s="17" t="s">
        <v>2</v>
      </c>
      <c r="M1" s="17" t="s">
        <v>3</v>
      </c>
      <c r="N1" s="17" t="s">
        <v>4</v>
      </c>
      <c r="O1" s="17" t="s">
        <v>5</v>
      </c>
      <c r="P1" s="17" t="s">
        <v>6</v>
      </c>
      <c r="Q1" s="17" t="s">
        <v>7</v>
      </c>
      <c r="R1" s="17" t="s">
        <v>8</v>
      </c>
      <c r="S1" s="17" t="s">
        <v>9</v>
      </c>
      <c r="T1" s="17" t="s">
        <v>10</v>
      </c>
      <c r="U1" s="17" t="s">
        <v>11</v>
      </c>
      <c r="V1" s="16" t="s">
        <v>104</v>
      </c>
      <c r="W1" s="16" t="s">
        <v>105</v>
      </c>
      <c r="X1" s="18" t="s">
        <v>169</v>
      </c>
    </row>
    <row r="2" spans="1:24" ht="38.25">
      <c r="A2" s="22" t="s">
        <v>0</v>
      </c>
      <c r="B2" s="30" t="s">
        <v>81</v>
      </c>
      <c r="C2" s="31" t="s">
        <v>69</v>
      </c>
      <c r="D2" s="23" t="s">
        <v>71</v>
      </c>
      <c r="E2" s="32" t="s">
        <v>27</v>
      </c>
      <c r="F2" s="39">
        <v>3208</v>
      </c>
      <c r="G2" s="37">
        <v>0.33</v>
      </c>
      <c r="H2" s="38">
        <f>F2*0.33</f>
        <v>1058.6400000000001</v>
      </c>
      <c r="I2" s="38" t="s">
        <v>120</v>
      </c>
      <c r="J2" s="40">
        <v>77</v>
      </c>
      <c r="K2" s="40">
        <v>70</v>
      </c>
      <c r="L2" s="40"/>
      <c r="M2" s="40"/>
      <c r="N2" s="41"/>
      <c r="O2" s="41"/>
      <c r="P2" s="42"/>
      <c r="Q2" s="42"/>
      <c r="R2" s="42"/>
      <c r="S2" s="42"/>
      <c r="T2" s="42"/>
      <c r="U2" s="42"/>
      <c r="V2" s="42">
        <f>SUM(J2:U2)</f>
        <v>147</v>
      </c>
      <c r="W2" s="43">
        <f>V2/H2</f>
        <v>0.13885740194967125</v>
      </c>
      <c r="X2" s="12">
        <v>3117</v>
      </c>
    </row>
    <row r="3" spans="1:24" ht="51">
      <c r="A3" s="22" t="s">
        <v>0</v>
      </c>
      <c r="B3" s="30" t="s">
        <v>82</v>
      </c>
      <c r="C3" s="31" t="s">
        <v>50</v>
      </c>
      <c r="D3" s="23" t="s">
        <v>49</v>
      </c>
      <c r="E3" s="33" t="s">
        <v>48</v>
      </c>
      <c r="F3" s="39" t="s">
        <v>106</v>
      </c>
      <c r="G3" s="37">
        <v>1</v>
      </c>
      <c r="H3" s="37">
        <v>1</v>
      </c>
      <c r="I3" s="38"/>
      <c r="J3" s="40">
        <v>1</v>
      </c>
      <c r="K3" s="40">
        <v>2</v>
      </c>
      <c r="L3" s="40">
        <v>2</v>
      </c>
      <c r="M3" s="40"/>
      <c r="N3" s="41"/>
      <c r="O3" s="41"/>
      <c r="P3" s="42"/>
      <c r="Q3" s="42"/>
      <c r="R3" s="42"/>
      <c r="S3" s="42"/>
      <c r="T3" s="42"/>
      <c r="U3" s="42"/>
      <c r="V3" s="42">
        <f>SUM(J3:U3)</f>
        <v>5</v>
      </c>
      <c r="W3" s="44">
        <f>V3/V2</f>
        <v>3.4013605442176874E-2</v>
      </c>
    </row>
    <row r="4" spans="1:24" ht="51">
      <c r="A4" s="22" t="s">
        <v>0</v>
      </c>
      <c r="B4" s="30" t="s">
        <v>83</v>
      </c>
      <c r="C4" s="31" t="s">
        <v>70</v>
      </c>
      <c r="D4" s="32" t="s">
        <v>72</v>
      </c>
      <c r="E4" s="45" t="s">
        <v>26</v>
      </c>
      <c r="F4" s="39">
        <v>18802</v>
      </c>
      <c r="G4" s="37">
        <v>0.2</v>
      </c>
      <c r="H4" s="38">
        <f>F4*0.2</f>
        <v>3760.4</v>
      </c>
      <c r="I4" s="38" t="s">
        <v>126</v>
      </c>
      <c r="J4" s="40">
        <v>20</v>
      </c>
      <c r="K4" s="40">
        <v>22</v>
      </c>
      <c r="L4" s="40"/>
      <c r="M4" s="40"/>
      <c r="N4" s="41"/>
      <c r="O4" s="41"/>
      <c r="P4" s="40"/>
      <c r="Q4" s="42"/>
      <c r="R4" s="42"/>
      <c r="S4" s="42"/>
      <c r="T4" s="42"/>
      <c r="U4" s="42"/>
      <c r="V4" s="42">
        <f t="shared" ref="V4:V18" si="0">SUM(J4:U4)</f>
        <v>42</v>
      </c>
      <c r="W4" s="43">
        <f t="shared" ref="W4:W16" si="1">V4/H4</f>
        <v>1.1169024571854059E-2</v>
      </c>
    </row>
    <row r="5" spans="1:24" ht="38.25">
      <c r="A5" s="22" t="s">
        <v>0</v>
      </c>
      <c r="B5" s="30" t="s">
        <v>84</v>
      </c>
      <c r="C5" s="31" t="s">
        <v>51</v>
      </c>
      <c r="D5" s="31" t="s">
        <v>46</v>
      </c>
      <c r="E5" s="46" t="s">
        <v>45</v>
      </c>
      <c r="F5" s="39" t="s">
        <v>106</v>
      </c>
      <c r="G5" s="37">
        <v>1</v>
      </c>
      <c r="H5" s="37">
        <v>1</v>
      </c>
      <c r="I5" s="38"/>
      <c r="J5" s="40">
        <v>7</v>
      </c>
      <c r="K5" s="40">
        <v>10</v>
      </c>
      <c r="L5" s="40"/>
      <c r="M5" s="40"/>
      <c r="N5" s="41"/>
      <c r="O5" s="41"/>
      <c r="P5" s="40"/>
      <c r="Q5" s="42"/>
      <c r="R5" s="42"/>
      <c r="S5" s="42"/>
      <c r="T5" s="42"/>
      <c r="U5" s="42"/>
      <c r="V5" s="42">
        <f t="shared" si="0"/>
        <v>17</v>
      </c>
      <c r="W5" s="43">
        <f>V5/V4</f>
        <v>0.40476190476190477</v>
      </c>
    </row>
    <row r="6" spans="1:24" ht="51">
      <c r="A6" s="22" t="s">
        <v>0</v>
      </c>
      <c r="B6" s="22" t="s">
        <v>85</v>
      </c>
      <c r="C6" s="23" t="s">
        <v>18</v>
      </c>
      <c r="D6" s="23" t="s">
        <v>52</v>
      </c>
      <c r="E6" s="32" t="s">
        <v>47</v>
      </c>
      <c r="F6" s="39" t="s">
        <v>106</v>
      </c>
      <c r="G6" s="37">
        <v>1</v>
      </c>
      <c r="H6" s="37">
        <v>1</v>
      </c>
      <c r="I6" s="38"/>
      <c r="J6" s="40">
        <v>1</v>
      </c>
      <c r="K6" s="40">
        <v>2</v>
      </c>
      <c r="L6" s="40">
        <v>2</v>
      </c>
      <c r="M6" s="40"/>
      <c r="N6" s="41"/>
      <c r="O6" s="41"/>
      <c r="P6" s="40"/>
      <c r="Q6" s="42"/>
      <c r="R6" s="42"/>
      <c r="S6" s="42"/>
      <c r="T6" s="42"/>
      <c r="U6" s="42"/>
      <c r="V6" s="42">
        <f t="shared" si="0"/>
        <v>5</v>
      </c>
      <c r="W6" s="43">
        <f>V6/V3</f>
        <v>1</v>
      </c>
    </row>
    <row r="7" spans="1:24" ht="56.25" customHeight="1">
      <c r="A7" s="22" t="s">
        <v>12</v>
      </c>
      <c r="B7" s="24" t="s">
        <v>86</v>
      </c>
      <c r="C7" s="23" t="s">
        <v>53</v>
      </c>
      <c r="D7" s="23" t="s">
        <v>73</v>
      </c>
      <c r="E7" s="32" t="s">
        <v>28</v>
      </c>
      <c r="F7" s="39">
        <v>14827</v>
      </c>
      <c r="G7" s="37">
        <v>1</v>
      </c>
      <c r="H7" s="38">
        <f>F7*1</f>
        <v>14827</v>
      </c>
      <c r="I7" s="38"/>
      <c r="J7" s="40">
        <v>451</v>
      </c>
      <c r="K7" s="40">
        <v>501</v>
      </c>
      <c r="L7" s="40"/>
      <c r="M7" s="40"/>
      <c r="N7" s="41"/>
      <c r="O7" s="41"/>
      <c r="P7" s="40"/>
      <c r="Q7" s="42"/>
      <c r="R7" s="42"/>
      <c r="S7" s="42"/>
      <c r="T7" s="42"/>
      <c r="U7" s="42"/>
      <c r="V7" s="42">
        <f t="shared" si="0"/>
        <v>952</v>
      </c>
      <c r="W7" s="43">
        <f t="shared" si="1"/>
        <v>6.4207189586565044E-2</v>
      </c>
      <c r="X7" s="12">
        <v>15344</v>
      </c>
    </row>
    <row r="8" spans="1:24" ht="54" customHeight="1">
      <c r="A8" s="22" t="s">
        <v>12</v>
      </c>
      <c r="B8" s="25" t="s">
        <v>87</v>
      </c>
      <c r="C8" s="26" t="s">
        <v>54</v>
      </c>
      <c r="D8" s="26" t="s">
        <v>55</v>
      </c>
      <c r="E8" s="33" t="s">
        <v>29</v>
      </c>
      <c r="F8" s="39">
        <v>9972</v>
      </c>
      <c r="G8" s="37">
        <v>0.5</v>
      </c>
      <c r="H8" s="38">
        <f>F8*0.5</f>
        <v>4986</v>
      </c>
      <c r="I8" s="38" t="s">
        <v>127</v>
      </c>
      <c r="J8" s="40">
        <v>235</v>
      </c>
      <c r="K8" s="40">
        <v>304</v>
      </c>
      <c r="L8" s="40"/>
      <c r="M8" s="40"/>
      <c r="N8" s="41"/>
      <c r="O8" s="41"/>
      <c r="P8" s="40"/>
      <c r="Q8" s="42"/>
      <c r="R8" s="42"/>
      <c r="S8" s="42"/>
      <c r="T8" s="42"/>
      <c r="U8" s="42"/>
      <c r="V8" s="42">
        <f t="shared" si="0"/>
        <v>539</v>
      </c>
      <c r="W8" s="43">
        <f t="shared" si="1"/>
        <v>0.1081026875250702</v>
      </c>
      <c r="X8" s="12">
        <v>10418</v>
      </c>
    </row>
    <row r="9" spans="1:24" ht="54" customHeight="1">
      <c r="A9" s="22" t="s">
        <v>12</v>
      </c>
      <c r="B9" s="25" t="s">
        <v>88</v>
      </c>
      <c r="C9" s="26" t="s">
        <v>57</v>
      </c>
      <c r="D9" s="26" t="s">
        <v>74</v>
      </c>
      <c r="E9" s="33" t="s">
        <v>56</v>
      </c>
      <c r="F9" s="39" t="s">
        <v>106</v>
      </c>
      <c r="G9" s="37">
        <v>1</v>
      </c>
      <c r="H9" s="37">
        <v>1</v>
      </c>
      <c r="I9" s="38"/>
      <c r="J9" s="40">
        <v>0</v>
      </c>
      <c r="K9" s="40">
        <v>1</v>
      </c>
      <c r="L9" s="40"/>
      <c r="M9" s="40"/>
      <c r="N9" s="41"/>
      <c r="O9" s="41"/>
      <c r="P9" s="40"/>
      <c r="Q9" s="42"/>
      <c r="R9" s="42"/>
      <c r="S9" s="42"/>
      <c r="T9" s="42"/>
      <c r="U9" s="42"/>
      <c r="V9" s="42">
        <f t="shared" si="0"/>
        <v>1</v>
      </c>
      <c r="W9" s="43">
        <f>V9/V8</f>
        <v>1.8552875695732839E-3</v>
      </c>
    </row>
    <row r="10" spans="1:24" ht="65.25" customHeight="1">
      <c r="A10" s="27" t="s">
        <v>12</v>
      </c>
      <c r="B10" s="28" t="s">
        <v>89</v>
      </c>
      <c r="C10" s="29" t="s">
        <v>58</v>
      </c>
      <c r="D10" s="29" t="s">
        <v>75</v>
      </c>
      <c r="E10" s="45" t="s">
        <v>30</v>
      </c>
      <c r="F10" s="39" t="s">
        <v>106</v>
      </c>
      <c r="G10" s="37">
        <v>1</v>
      </c>
      <c r="H10" s="37">
        <v>1</v>
      </c>
      <c r="I10" s="38"/>
      <c r="J10" s="40">
        <v>0</v>
      </c>
      <c r="K10" s="40">
        <v>1</v>
      </c>
      <c r="L10" s="40"/>
      <c r="M10" s="40"/>
      <c r="N10" s="41"/>
      <c r="O10" s="41"/>
      <c r="P10" s="40"/>
      <c r="Q10" s="42"/>
      <c r="R10" s="42"/>
      <c r="S10" s="42"/>
      <c r="T10" s="42"/>
      <c r="U10" s="42"/>
      <c r="V10" s="42">
        <f t="shared" si="0"/>
        <v>1</v>
      </c>
      <c r="W10" s="43">
        <f>V10/V8</f>
        <v>1.8552875695732839E-3</v>
      </c>
    </row>
    <row r="11" spans="1:24" ht="55.5" customHeight="1">
      <c r="A11" s="22" t="s">
        <v>13</v>
      </c>
      <c r="B11" s="22" t="s">
        <v>90</v>
      </c>
      <c r="C11" s="23" t="s">
        <v>21</v>
      </c>
      <c r="D11" s="23" t="s">
        <v>76</v>
      </c>
      <c r="E11" s="32" t="s">
        <v>31</v>
      </c>
      <c r="F11" s="39">
        <v>9593</v>
      </c>
      <c r="G11" s="37">
        <v>0.2</v>
      </c>
      <c r="H11" s="38">
        <f>F11*0.2</f>
        <v>1918.6000000000001</v>
      </c>
      <c r="I11" s="38" t="s">
        <v>140</v>
      </c>
      <c r="J11" s="40">
        <v>81</v>
      </c>
      <c r="K11" s="40">
        <v>115</v>
      </c>
      <c r="L11" s="40"/>
      <c r="M11" s="40"/>
      <c r="N11" s="41"/>
      <c r="O11" s="41"/>
      <c r="P11" s="40"/>
      <c r="Q11" s="42"/>
      <c r="R11" s="42"/>
      <c r="S11" s="42"/>
      <c r="T11" s="42"/>
      <c r="U11" s="42"/>
      <c r="V11" s="42">
        <f t="shared" si="0"/>
        <v>196</v>
      </c>
      <c r="W11" s="43">
        <f t="shared" si="1"/>
        <v>0.10215782341290523</v>
      </c>
      <c r="X11" s="12">
        <v>10170</v>
      </c>
    </row>
    <row r="12" spans="1:24" ht="54.75" customHeight="1">
      <c r="A12" s="4" t="s">
        <v>13</v>
      </c>
      <c r="B12" s="5" t="s">
        <v>91</v>
      </c>
      <c r="C12" s="1" t="s">
        <v>19</v>
      </c>
      <c r="D12" s="1" t="s">
        <v>77</v>
      </c>
      <c r="E12" s="47" t="s">
        <v>31</v>
      </c>
      <c r="F12" s="39">
        <v>9593</v>
      </c>
      <c r="G12" s="37">
        <v>0.2</v>
      </c>
      <c r="H12" s="38">
        <f>F12*0.2</f>
        <v>1918.6000000000001</v>
      </c>
      <c r="I12" s="38" t="s">
        <v>141</v>
      </c>
      <c r="J12" s="40">
        <v>62</v>
      </c>
      <c r="K12" s="40">
        <v>96</v>
      </c>
      <c r="L12" s="40"/>
      <c r="M12" s="40"/>
      <c r="N12" s="41"/>
      <c r="O12" s="41"/>
      <c r="P12" s="40"/>
      <c r="Q12" s="42"/>
      <c r="R12" s="42"/>
      <c r="S12" s="42"/>
      <c r="T12" s="42"/>
      <c r="U12" s="42"/>
      <c r="V12" s="42">
        <f t="shared" si="0"/>
        <v>158</v>
      </c>
      <c r="W12" s="43">
        <f t="shared" si="1"/>
        <v>8.235171479203586E-2</v>
      </c>
    </row>
    <row r="13" spans="1:24" ht="63" customHeight="1">
      <c r="A13" s="8" t="s">
        <v>13</v>
      </c>
      <c r="B13" s="7" t="s">
        <v>92</v>
      </c>
      <c r="C13" s="3" t="s">
        <v>20</v>
      </c>
      <c r="D13" s="3" t="s">
        <v>59</v>
      </c>
      <c r="E13" s="48" t="s">
        <v>31</v>
      </c>
      <c r="F13" s="39">
        <v>9593</v>
      </c>
      <c r="G13" s="37">
        <v>0.2</v>
      </c>
      <c r="H13" s="38">
        <f>F13*0.2</f>
        <v>1918.6000000000001</v>
      </c>
      <c r="I13" s="38" t="s">
        <v>154</v>
      </c>
      <c r="J13" s="40">
        <v>62</v>
      </c>
      <c r="K13" s="40">
        <v>96</v>
      </c>
      <c r="L13" s="40"/>
      <c r="M13" s="40"/>
      <c r="N13" s="41"/>
      <c r="O13" s="41"/>
      <c r="P13" s="40"/>
      <c r="Q13" s="42"/>
      <c r="R13" s="42"/>
      <c r="S13" s="42"/>
      <c r="T13" s="42"/>
      <c r="U13" s="42"/>
      <c r="V13" s="42">
        <f t="shared" si="0"/>
        <v>158</v>
      </c>
      <c r="W13" s="43">
        <f t="shared" si="1"/>
        <v>8.235171479203586E-2</v>
      </c>
    </row>
    <row r="14" spans="1:24" ht="63" customHeight="1">
      <c r="A14" s="9" t="s">
        <v>13</v>
      </c>
      <c r="B14" s="6" t="s">
        <v>107</v>
      </c>
      <c r="C14" s="2" t="s">
        <v>93</v>
      </c>
      <c r="D14" s="2" t="s">
        <v>61</v>
      </c>
      <c r="E14" s="49" t="s">
        <v>60</v>
      </c>
      <c r="F14" s="39" t="s">
        <v>106</v>
      </c>
      <c r="G14" s="37">
        <v>1</v>
      </c>
      <c r="H14" s="37">
        <v>1</v>
      </c>
      <c r="I14" s="38"/>
      <c r="J14" s="40">
        <v>6</v>
      </c>
      <c r="K14" s="40">
        <v>11</v>
      </c>
      <c r="L14" s="40"/>
      <c r="M14" s="40"/>
      <c r="N14" s="41"/>
      <c r="O14" s="41"/>
      <c r="P14" s="40"/>
      <c r="Q14" s="42"/>
      <c r="R14" s="42"/>
      <c r="S14" s="42"/>
      <c r="T14" s="42"/>
      <c r="U14" s="42"/>
      <c r="V14" s="42">
        <f t="shared" si="0"/>
        <v>17</v>
      </c>
      <c r="W14" s="43">
        <f>V14/V13</f>
        <v>0.10759493670886076</v>
      </c>
    </row>
    <row r="15" spans="1:24" ht="70.5" customHeight="1">
      <c r="A15" s="19" t="s">
        <v>13</v>
      </c>
      <c r="B15" s="20" t="s">
        <v>95</v>
      </c>
      <c r="C15" s="21" t="s">
        <v>34</v>
      </c>
      <c r="D15" s="21" t="s">
        <v>32</v>
      </c>
      <c r="E15" s="50" t="s">
        <v>33</v>
      </c>
      <c r="F15" s="39" t="s">
        <v>106</v>
      </c>
      <c r="G15" s="37">
        <v>1</v>
      </c>
      <c r="H15" s="37">
        <v>1</v>
      </c>
      <c r="I15" s="38"/>
      <c r="J15" s="40" t="s">
        <v>156</v>
      </c>
      <c r="K15" s="40" t="s">
        <v>156</v>
      </c>
      <c r="L15" s="40"/>
      <c r="M15" s="40"/>
      <c r="N15" s="41"/>
      <c r="O15" s="41"/>
      <c r="P15" s="40"/>
      <c r="Q15" s="42"/>
      <c r="R15" s="42"/>
      <c r="S15" s="42"/>
      <c r="T15" s="42"/>
      <c r="U15" s="42"/>
      <c r="V15" s="42">
        <f t="shared" si="0"/>
        <v>0</v>
      </c>
      <c r="W15" s="43">
        <f>V15/V14</f>
        <v>0</v>
      </c>
    </row>
    <row r="16" spans="1:24" ht="63.75">
      <c r="A16" s="9" t="s">
        <v>14</v>
      </c>
      <c r="B16" s="6" t="s">
        <v>96</v>
      </c>
      <c r="C16" s="2" t="s">
        <v>64</v>
      </c>
      <c r="D16" s="2" t="s">
        <v>63</v>
      </c>
      <c r="E16" s="49" t="s">
        <v>62</v>
      </c>
      <c r="F16" s="39">
        <v>21667</v>
      </c>
      <c r="G16" s="37">
        <v>0.5</v>
      </c>
      <c r="H16" s="38">
        <f>F16*0.5</f>
        <v>10833.5</v>
      </c>
      <c r="I16" s="38" t="s">
        <v>109</v>
      </c>
      <c r="J16" s="40">
        <v>381</v>
      </c>
      <c r="K16" s="40">
        <v>613</v>
      </c>
      <c r="L16" s="40"/>
      <c r="M16" s="40"/>
      <c r="N16" s="41"/>
      <c r="O16" s="41"/>
      <c r="P16" s="40"/>
      <c r="Q16" s="42"/>
      <c r="R16" s="42"/>
      <c r="S16" s="42"/>
      <c r="T16" s="42"/>
      <c r="U16" s="42"/>
      <c r="V16" s="42">
        <f t="shared" si="0"/>
        <v>994</v>
      </c>
      <c r="W16" s="43">
        <f t="shared" si="1"/>
        <v>9.1752434577929573E-2</v>
      </c>
    </row>
    <row r="17" spans="1:23" ht="58.5" customHeight="1">
      <c r="A17" s="9" t="s">
        <v>14</v>
      </c>
      <c r="B17" s="6" t="s">
        <v>97</v>
      </c>
      <c r="C17" s="2" t="s">
        <v>67</v>
      </c>
      <c r="D17" s="2" t="s">
        <v>66</v>
      </c>
      <c r="E17" s="49" t="s">
        <v>65</v>
      </c>
      <c r="F17" s="39" t="s">
        <v>106</v>
      </c>
      <c r="G17" s="37">
        <v>1</v>
      </c>
      <c r="H17" s="37">
        <v>1</v>
      </c>
      <c r="I17" s="38"/>
      <c r="J17" s="40">
        <v>14</v>
      </c>
      <c r="K17" s="40">
        <v>34</v>
      </c>
      <c r="L17" s="40"/>
      <c r="M17" s="40"/>
      <c r="N17" s="41"/>
      <c r="O17" s="41"/>
      <c r="P17" s="40"/>
      <c r="Q17" s="42"/>
      <c r="R17" s="42"/>
      <c r="S17" s="42"/>
      <c r="T17" s="42"/>
      <c r="U17" s="42"/>
      <c r="V17" s="42">
        <f t="shared" si="0"/>
        <v>48</v>
      </c>
      <c r="W17" s="43">
        <f>V17/V16</f>
        <v>4.8289738430583498E-2</v>
      </c>
    </row>
    <row r="18" spans="1:23" ht="76.5">
      <c r="A18" s="9" t="s">
        <v>14</v>
      </c>
      <c r="B18" s="6" t="s">
        <v>99</v>
      </c>
      <c r="C18" s="2" t="s">
        <v>36</v>
      </c>
      <c r="D18" s="2" t="s">
        <v>68</v>
      </c>
      <c r="E18" s="49" t="s">
        <v>35</v>
      </c>
      <c r="F18" s="39" t="s">
        <v>106</v>
      </c>
      <c r="G18" s="37">
        <v>1</v>
      </c>
      <c r="H18" s="37">
        <v>1</v>
      </c>
      <c r="I18" s="38"/>
      <c r="J18" s="40">
        <v>0</v>
      </c>
      <c r="K18" s="40">
        <v>0</v>
      </c>
      <c r="L18" s="40"/>
      <c r="M18" s="40"/>
      <c r="N18" s="41"/>
      <c r="O18" s="41"/>
      <c r="P18" s="40"/>
      <c r="Q18" s="42"/>
      <c r="R18" s="42"/>
      <c r="S18" s="42"/>
      <c r="T18" s="42"/>
      <c r="U18" s="42"/>
      <c r="V18" s="42">
        <f t="shared" si="0"/>
        <v>0</v>
      </c>
      <c r="W18" s="43">
        <f>V18/V17</f>
        <v>0</v>
      </c>
    </row>
    <row r="21" spans="1:23">
      <c r="A21" s="12" t="s">
        <v>162</v>
      </c>
    </row>
    <row r="22" spans="1:23">
      <c r="A22" s="53">
        <v>46129</v>
      </c>
      <c r="B22" s="12" t="s">
        <v>164</v>
      </c>
    </row>
    <row r="23" spans="1:23">
      <c r="A23" s="12" t="s">
        <v>163</v>
      </c>
    </row>
    <row r="24" spans="1:23">
      <c r="A24" s="12" t="s">
        <v>165</v>
      </c>
    </row>
    <row r="25" spans="1:23">
      <c r="A25" s="12" t="s">
        <v>167</v>
      </c>
    </row>
    <row r="26" spans="1:23">
      <c r="A26" s="12" t="s">
        <v>166</v>
      </c>
    </row>
    <row r="27" spans="1:23">
      <c r="A27" s="12" t="s">
        <v>168</v>
      </c>
    </row>
  </sheetData>
  <autoFilter ref="A1:W18" xr:uid="{00000000-0001-0000-0000-000000000000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4CD1-ED16-4175-AD17-BF1D506EB7B1}">
  <sheetPr>
    <tabColor rgb="FF00B0F0"/>
  </sheetPr>
  <dimension ref="A1:X26"/>
  <sheetViews>
    <sheetView topLeftCell="D1" workbookViewId="0">
      <pane ySplit="1" topLeftCell="A2" activePane="bottomLeft" state="frozen"/>
      <selection activeCell="E1" sqref="E1"/>
      <selection pane="bottomLeft" activeCell="J8" sqref="J8:L8"/>
    </sheetView>
  </sheetViews>
  <sheetFormatPr baseColWidth="10" defaultColWidth="9.140625" defaultRowHeight="12.75"/>
  <cols>
    <col min="1" max="1" width="11.5703125" style="12" customWidth="1"/>
    <col min="2" max="2" width="15.85546875" style="12" customWidth="1"/>
    <col min="3" max="3" width="37.5703125" style="12" customWidth="1"/>
    <col min="4" max="4" width="34.5703125" style="12" customWidth="1"/>
    <col min="5" max="5" width="33.42578125" style="12" customWidth="1"/>
    <col min="6" max="6" width="18" style="12" customWidth="1"/>
    <col min="7" max="8" width="14.140625" style="11" customWidth="1"/>
    <col min="9" max="9" width="14.85546875" style="12" customWidth="1"/>
    <col min="10" max="12" width="9.42578125" style="12" customWidth="1"/>
    <col min="13" max="14" width="9.42578125" style="12" hidden="1" customWidth="1"/>
    <col min="15" max="15" width="9.7109375" style="12" hidden="1" customWidth="1"/>
    <col min="16" max="16" width="9.140625" style="12" hidden="1" customWidth="1"/>
    <col min="17" max="17" width="12.42578125" style="12" hidden="1" customWidth="1"/>
    <col min="18" max="18" width="11.42578125" style="12" hidden="1" customWidth="1"/>
    <col min="19" max="19" width="0" style="12" hidden="1" customWidth="1"/>
    <col min="20" max="20" width="10.85546875" style="12" hidden="1" customWidth="1"/>
    <col min="21" max="21" width="11.7109375" style="12" hidden="1" customWidth="1"/>
    <col min="22" max="22" width="12.7109375" style="12" customWidth="1"/>
    <col min="23" max="16384" width="9.140625" style="12"/>
  </cols>
  <sheetData>
    <row r="1" spans="1:24" s="18" customFormat="1" ht="24">
      <c r="A1" s="14" t="s">
        <v>23</v>
      </c>
      <c r="B1" s="14" t="s">
        <v>80</v>
      </c>
      <c r="C1" s="15" t="s">
        <v>24</v>
      </c>
      <c r="D1" s="15" t="s">
        <v>22</v>
      </c>
      <c r="E1" s="15" t="s">
        <v>25</v>
      </c>
      <c r="F1" s="51" t="s">
        <v>38</v>
      </c>
      <c r="G1" s="16" t="s">
        <v>100</v>
      </c>
      <c r="H1" s="16" t="s">
        <v>102</v>
      </c>
      <c r="I1" s="16" t="s">
        <v>155</v>
      </c>
      <c r="J1" s="17" t="s">
        <v>37</v>
      </c>
      <c r="K1" s="17" t="s">
        <v>1</v>
      </c>
      <c r="L1" s="17" t="s">
        <v>2</v>
      </c>
      <c r="M1" s="17" t="s">
        <v>3</v>
      </c>
      <c r="N1" s="17" t="s">
        <v>4</v>
      </c>
      <c r="O1" s="17" t="s">
        <v>5</v>
      </c>
      <c r="P1" s="17" t="s">
        <v>6</v>
      </c>
      <c r="Q1" s="17" t="s">
        <v>7</v>
      </c>
      <c r="R1" s="17" t="s">
        <v>8</v>
      </c>
      <c r="S1" s="17" t="s">
        <v>9</v>
      </c>
      <c r="T1" s="17" t="s">
        <v>10</v>
      </c>
      <c r="U1" s="17" t="s">
        <v>11</v>
      </c>
      <c r="V1" s="16" t="s">
        <v>104</v>
      </c>
      <c r="W1" s="16" t="s">
        <v>105</v>
      </c>
    </row>
    <row r="2" spans="1:24" ht="38.25">
      <c r="A2" s="22" t="s">
        <v>0</v>
      </c>
      <c r="B2" s="30" t="s">
        <v>81</v>
      </c>
      <c r="C2" s="31" t="s">
        <v>69</v>
      </c>
      <c r="D2" s="23" t="s">
        <v>71</v>
      </c>
      <c r="E2" s="32" t="s">
        <v>27</v>
      </c>
      <c r="F2" s="39">
        <v>1280</v>
      </c>
      <c r="G2" s="37">
        <v>0.33</v>
      </c>
      <c r="H2" s="38">
        <f>F2*0.33</f>
        <v>422.40000000000003</v>
      </c>
      <c r="I2" s="38"/>
      <c r="J2" s="40">
        <v>142</v>
      </c>
      <c r="K2" s="40">
        <v>138</v>
      </c>
      <c r="L2" s="40">
        <v>175</v>
      </c>
      <c r="M2" s="40"/>
      <c r="N2" s="41"/>
      <c r="O2" s="41"/>
      <c r="P2" s="42"/>
      <c r="Q2" s="42"/>
      <c r="R2" s="42"/>
      <c r="S2" s="42"/>
      <c r="T2" s="42"/>
      <c r="U2" s="42"/>
      <c r="V2" s="42">
        <f>SUM(J2:U2)</f>
        <v>455</v>
      </c>
      <c r="W2" s="43">
        <f>V2/H2</f>
        <v>1.0771780303030303</v>
      </c>
    </row>
    <row r="3" spans="1:24" ht="51">
      <c r="A3" s="22" t="s">
        <v>0</v>
      </c>
      <c r="B3" s="30" t="s">
        <v>82</v>
      </c>
      <c r="C3" s="31" t="s">
        <v>50</v>
      </c>
      <c r="D3" s="23" t="s">
        <v>49</v>
      </c>
      <c r="E3" s="33" t="s">
        <v>48</v>
      </c>
      <c r="F3" s="39" t="s">
        <v>106</v>
      </c>
      <c r="G3" s="37">
        <v>1</v>
      </c>
      <c r="H3" s="37">
        <v>1</v>
      </c>
      <c r="I3" s="38"/>
      <c r="J3" s="40">
        <v>0</v>
      </c>
      <c r="K3" s="40">
        <v>0</v>
      </c>
      <c r="L3" s="40">
        <v>3</v>
      </c>
      <c r="M3" s="40"/>
      <c r="N3" s="41"/>
      <c r="O3" s="41"/>
      <c r="P3" s="42"/>
      <c r="Q3" s="42"/>
      <c r="R3" s="42"/>
      <c r="S3" s="42"/>
      <c r="T3" s="42"/>
      <c r="U3" s="42"/>
      <c r="V3" s="42">
        <f>SUM(J3:U3)</f>
        <v>3</v>
      </c>
      <c r="W3" s="44">
        <f>V3/V2</f>
        <v>6.5934065934065934E-3</v>
      </c>
    </row>
    <row r="4" spans="1:24" ht="51">
      <c r="A4" s="22" t="s">
        <v>0</v>
      </c>
      <c r="B4" s="30" t="s">
        <v>83</v>
      </c>
      <c r="C4" s="31" t="s">
        <v>70</v>
      </c>
      <c r="D4" s="32" t="s">
        <v>72</v>
      </c>
      <c r="E4" s="45" t="s">
        <v>26</v>
      </c>
      <c r="F4" s="39">
        <v>9805</v>
      </c>
      <c r="G4" s="37">
        <v>0.2</v>
      </c>
      <c r="H4" s="38">
        <f>F4*0.2</f>
        <v>1961</v>
      </c>
      <c r="I4" s="38" t="s">
        <v>125</v>
      </c>
      <c r="J4" s="40">
        <v>5</v>
      </c>
      <c r="K4" s="40">
        <v>0</v>
      </c>
      <c r="L4" s="40">
        <v>1</v>
      </c>
      <c r="M4" s="40"/>
      <c r="N4" s="41"/>
      <c r="O4" s="41"/>
      <c r="P4" s="40"/>
      <c r="Q4" s="42"/>
      <c r="R4" s="42"/>
      <c r="S4" s="42"/>
      <c r="T4" s="42"/>
      <c r="U4" s="42"/>
      <c r="V4" s="42">
        <f t="shared" ref="V4:V18" si="0">SUM(J4:U4)</f>
        <v>6</v>
      </c>
      <c r="W4" s="43">
        <f t="shared" ref="W4:W16" si="1">V4/H4</f>
        <v>3.0596634370219276E-3</v>
      </c>
      <c r="X4" s="12">
        <v>9990</v>
      </c>
    </row>
    <row r="5" spans="1:24" ht="38.25">
      <c r="A5" s="22" t="s">
        <v>0</v>
      </c>
      <c r="B5" s="30" t="s">
        <v>84</v>
      </c>
      <c r="C5" s="31" t="s">
        <v>51</v>
      </c>
      <c r="D5" s="31" t="s">
        <v>46</v>
      </c>
      <c r="E5" s="46" t="s">
        <v>45</v>
      </c>
      <c r="F5" s="39" t="s">
        <v>106</v>
      </c>
      <c r="G5" s="37">
        <v>1</v>
      </c>
      <c r="H5" s="37">
        <v>1</v>
      </c>
      <c r="I5" s="38"/>
      <c r="J5" s="40">
        <v>0</v>
      </c>
      <c r="K5" s="40">
        <v>0</v>
      </c>
      <c r="L5" s="40">
        <v>0</v>
      </c>
      <c r="M5" s="40"/>
      <c r="N5" s="41"/>
      <c r="O5" s="41"/>
      <c r="P5" s="40"/>
      <c r="Q5" s="42"/>
      <c r="R5" s="42"/>
      <c r="S5" s="42"/>
      <c r="T5" s="42"/>
      <c r="U5" s="42"/>
      <c r="V5" s="42">
        <f t="shared" si="0"/>
        <v>0</v>
      </c>
      <c r="W5" s="43">
        <f>V5/V4</f>
        <v>0</v>
      </c>
    </row>
    <row r="6" spans="1:24" ht="51">
      <c r="A6" s="22" t="s">
        <v>0</v>
      </c>
      <c r="B6" s="22" t="s">
        <v>85</v>
      </c>
      <c r="C6" s="23" t="s">
        <v>18</v>
      </c>
      <c r="D6" s="23" t="s">
        <v>52</v>
      </c>
      <c r="E6" s="32" t="s">
        <v>47</v>
      </c>
      <c r="F6" s="39" t="s">
        <v>106</v>
      </c>
      <c r="G6" s="37">
        <v>1</v>
      </c>
      <c r="H6" s="37">
        <v>1</v>
      </c>
      <c r="I6" s="38"/>
      <c r="J6" s="40">
        <v>0</v>
      </c>
      <c r="K6" s="40">
        <v>0</v>
      </c>
      <c r="L6" s="40" t="s">
        <v>156</v>
      </c>
      <c r="M6" s="40"/>
      <c r="N6" s="41"/>
      <c r="O6" s="41"/>
      <c r="P6" s="40"/>
      <c r="Q6" s="42"/>
      <c r="R6" s="42"/>
      <c r="S6" s="42"/>
      <c r="T6" s="42"/>
      <c r="U6" s="42"/>
      <c r="V6" s="42">
        <f t="shared" si="0"/>
        <v>0</v>
      </c>
      <c r="W6" s="43">
        <f>V6/V3</f>
        <v>0</v>
      </c>
    </row>
    <row r="7" spans="1:24" ht="56.25" customHeight="1">
      <c r="A7" s="22" t="s">
        <v>12</v>
      </c>
      <c r="B7" s="24" t="s">
        <v>86</v>
      </c>
      <c r="C7" s="23" t="s">
        <v>53</v>
      </c>
      <c r="D7" s="23" t="s">
        <v>73</v>
      </c>
      <c r="E7" s="32" t="s">
        <v>28</v>
      </c>
      <c r="F7" s="39">
        <v>7151</v>
      </c>
      <c r="G7" s="37">
        <v>1</v>
      </c>
      <c r="H7" s="38">
        <f>F7*1</f>
        <v>7151</v>
      </c>
      <c r="I7" s="38"/>
      <c r="J7" s="40">
        <v>16</v>
      </c>
      <c r="K7" s="40">
        <v>11</v>
      </c>
      <c r="L7" s="40">
        <v>8</v>
      </c>
      <c r="M7" s="40"/>
      <c r="N7" s="41"/>
      <c r="O7" s="41"/>
      <c r="P7" s="40"/>
      <c r="Q7" s="42"/>
      <c r="R7" s="42"/>
      <c r="S7" s="42"/>
      <c r="T7" s="42"/>
      <c r="U7" s="42"/>
      <c r="V7" s="42">
        <f t="shared" si="0"/>
        <v>35</v>
      </c>
      <c r="W7" s="43">
        <f t="shared" si="1"/>
        <v>4.894420360788701E-3</v>
      </c>
    </row>
    <row r="8" spans="1:24" ht="54" customHeight="1">
      <c r="A8" s="22" t="s">
        <v>12</v>
      </c>
      <c r="B8" s="25" t="s">
        <v>87</v>
      </c>
      <c r="C8" s="26" t="s">
        <v>54</v>
      </c>
      <c r="D8" s="26" t="s">
        <v>55</v>
      </c>
      <c r="E8" s="33" t="s">
        <v>29</v>
      </c>
      <c r="F8" s="39">
        <v>3910</v>
      </c>
      <c r="G8" s="37">
        <v>0.5</v>
      </c>
      <c r="H8" s="38">
        <f>F8*0.5</f>
        <v>1955</v>
      </c>
      <c r="I8" s="38" t="s">
        <v>128</v>
      </c>
      <c r="J8" s="40">
        <v>74</v>
      </c>
      <c r="K8" s="40">
        <v>78</v>
      </c>
      <c r="L8" s="40">
        <v>128</v>
      </c>
      <c r="M8" s="40"/>
      <c r="N8" s="41"/>
      <c r="O8" s="41"/>
      <c r="P8" s="40"/>
      <c r="Q8" s="42"/>
      <c r="R8" s="42"/>
      <c r="S8" s="42"/>
      <c r="T8" s="42"/>
      <c r="U8" s="42"/>
      <c r="V8" s="42">
        <f t="shared" si="0"/>
        <v>280</v>
      </c>
      <c r="W8" s="43">
        <f t="shared" si="1"/>
        <v>0.14322250639386189</v>
      </c>
    </row>
    <row r="9" spans="1:24" ht="54" customHeight="1">
      <c r="A9" s="22" t="s">
        <v>12</v>
      </c>
      <c r="B9" s="25" t="s">
        <v>88</v>
      </c>
      <c r="C9" s="26" t="s">
        <v>57</v>
      </c>
      <c r="D9" s="26" t="s">
        <v>74</v>
      </c>
      <c r="E9" s="33" t="s">
        <v>56</v>
      </c>
      <c r="F9" s="39" t="s">
        <v>106</v>
      </c>
      <c r="G9" s="37">
        <v>1</v>
      </c>
      <c r="H9" s="37">
        <v>1</v>
      </c>
      <c r="I9" s="38"/>
      <c r="J9" s="40">
        <v>0</v>
      </c>
      <c r="K9" s="40">
        <v>1</v>
      </c>
      <c r="L9" s="40">
        <v>0</v>
      </c>
      <c r="M9" s="40"/>
      <c r="N9" s="41"/>
      <c r="O9" s="41"/>
      <c r="P9" s="40"/>
      <c r="Q9" s="42"/>
      <c r="R9" s="42"/>
      <c r="S9" s="42"/>
      <c r="T9" s="42"/>
      <c r="U9" s="42"/>
      <c r="V9" s="42">
        <f t="shared" si="0"/>
        <v>1</v>
      </c>
      <c r="W9" s="43">
        <f>V9/V8</f>
        <v>3.5714285714285713E-3</v>
      </c>
    </row>
    <row r="10" spans="1:24" ht="65.25" customHeight="1">
      <c r="A10" s="27" t="s">
        <v>12</v>
      </c>
      <c r="B10" s="28" t="s">
        <v>89</v>
      </c>
      <c r="C10" s="29" t="s">
        <v>58</v>
      </c>
      <c r="D10" s="29" t="s">
        <v>75</v>
      </c>
      <c r="E10" s="45" t="s">
        <v>30</v>
      </c>
      <c r="F10" s="39" t="s">
        <v>106</v>
      </c>
      <c r="G10" s="37">
        <v>1</v>
      </c>
      <c r="H10" s="37">
        <v>1</v>
      </c>
      <c r="I10" s="38"/>
      <c r="J10" s="40">
        <v>0</v>
      </c>
      <c r="K10" s="52">
        <v>0</v>
      </c>
      <c r="L10" s="40">
        <v>0</v>
      </c>
      <c r="M10" s="40"/>
      <c r="N10" s="41"/>
      <c r="O10" s="41"/>
      <c r="P10" s="40"/>
      <c r="Q10" s="42"/>
      <c r="R10" s="42"/>
      <c r="S10" s="42"/>
      <c r="T10" s="42"/>
      <c r="U10" s="42"/>
      <c r="V10" s="42">
        <f t="shared" si="0"/>
        <v>0</v>
      </c>
      <c r="W10" s="43">
        <f>V10/V8</f>
        <v>0</v>
      </c>
    </row>
    <row r="11" spans="1:24" ht="55.5" customHeight="1">
      <c r="A11" s="22" t="s">
        <v>13</v>
      </c>
      <c r="B11" s="22" t="s">
        <v>90</v>
      </c>
      <c r="C11" s="23" t="s">
        <v>21</v>
      </c>
      <c r="D11" s="23" t="s">
        <v>76</v>
      </c>
      <c r="E11" s="32" t="s">
        <v>31</v>
      </c>
      <c r="F11" s="39">
        <v>4071</v>
      </c>
      <c r="G11" s="37">
        <v>0.2</v>
      </c>
      <c r="H11" s="38">
        <f>F11*0.2</f>
        <v>814.2</v>
      </c>
      <c r="I11" s="38" t="s">
        <v>139</v>
      </c>
      <c r="J11" s="40">
        <v>97</v>
      </c>
      <c r="K11" s="40">
        <v>94</v>
      </c>
      <c r="L11" s="40"/>
      <c r="M11" s="40"/>
      <c r="N11" s="41"/>
      <c r="O11" s="41"/>
      <c r="P11" s="40"/>
      <c r="Q11" s="42"/>
      <c r="R11" s="42"/>
      <c r="S11" s="42"/>
      <c r="T11" s="42"/>
      <c r="U11" s="42"/>
      <c r="V11" s="42">
        <f t="shared" si="0"/>
        <v>191</v>
      </c>
      <c r="W11" s="43">
        <f t="shared" si="1"/>
        <v>0.23458609678211739</v>
      </c>
      <c r="X11" s="12">
        <v>4164</v>
      </c>
    </row>
    <row r="12" spans="1:24" ht="54.75" customHeight="1">
      <c r="A12" s="4" t="s">
        <v>13</v>
      </c>
      <c r="B12" s="5" t="s">
        <v>91</v>
      </c>
      <c r="C12" s="1" t="s">
        <v>19</v>
      </c>
      <c r="D12" s="1" t="s">
        <v>77</v>
      </c>
      <c r="E12" s="47" t="s">
        <v>31</v>
      </c>
      <c r="F12" s="39">
        <v>4071</v>
      </c>
      <c r="G12" s="37">
        <v>0.2</v>
      </c>
      <c r="H12" s="38">
        <f>F12*0.2</f>
        <v>814.2</v>
      </c>
      <c r="I12" s="38" t="s">
        <v>142</v>
      </c>
      <c r="J12" s="40">
        <v>96</v>
      </c>
      <c r="K12" s="40">
        <v>90</v>
      </c>
      <c r="L12" s="40"/>
      <c r="M12" s="40"/>
      <c r="N12" s="41"/>
      <c r="O12" s="41"/>
      <c r="P12" s="40"/>
      <c r="Q12" s="42"/>
      <c r="R12" s="42"/>
      <c r="S12" s="42"/>
      <c r="T12" s="42"/>
      <c r="U12" s="42"/>
      <c r="V12" s="42">
        <f t="shared" si="0"/>
        <v>186</v>
      </c>
      <c r="W12" s="43">
        <f t="shared" si="1"/>
        <v>0.22844509948415623</v>
      </c>
    </row>
    <row r="13" spans="1:24" ht="63" customHeight="1">
      <c r="A13" s="8" t="s">
        <v>13</v>
      </c>
      <c r="B13" s="7" t="s">
        <v>92</v>
      </c>
      <c r="C13" s="3" t="s">
        <v>20</v>
      </c>
      <c r="D13" s="3" t="s">
        <v>59</v>
      </c>
      <c r="E13" s="48" t="s">
        <v>31</v>
      </c>
      <c r="F13" s="39">
        <v>4071</v>
      </c>
      <c r="G13" s="37">
        <v>0.2</v>
      </c>
      <c r="H13" s="38">
        <f>F13*0.2</f>
        <v>814.2</v>
      </c>
      <c r="I13" s="38" t="s">
        <v>153</v>
      </c>
      <c r="J13" s="40">
        <v>16</v>
      </c>
      <c r="K13" s="40">
        <v>18</v>
      </c>
      <c r="L13" s="40"/>
      <c r="M13" s="40"/>
      <c r="N13" s="41"/>
      <c r="O13" s="41"/>
      <c r="P13" s="40"/>
      <c r="Q13" s="42"/>
      <c r="R13" s="42"/>
      <c r="S13" s="42"/>
      <c r="T13" s="42"/>
      <c r="U13" s="42"/>
      <c r="V13" s="42">
        <f t="shared" si="0"/>
        <v>34</v>
      </c>
      <c r="W13" s="43">
        <f t="shared" si="1"/>
        <v>4.1758781626136082E-2</v>
      </c>
    </row>
    <row r="14" spans="1:24" ht="63" customHeight="1">
      <c r="A14" s="9" t="s">
        <v>13</v>
      </c>
      <c r="B14" s="6" t="s">
        <v>107</v>
      </c>
      <c r="C14" s="2" t="s">
        <v>93</v>
      </c>
      <c r="D14" s="2" t="s">
        <v>61</v>
      </c>
      <c r="E14" s="49" t="s">
        <v>60</v>
      </c>
      <c r="F14" s="39" t="s">
        <v>106</v>
      </c>
      <c r="G14" s="37">
        <v>1</v>
      </c>
      <c r="H14" s="37">
        <v>1</v>
      </c>
      <c r="I14" s="38" t="s">
        <v>119</v>
      </c>
      <c r="J14" s="40">
        <v>1</v>
      </c>
      <c r="K14" s="40">
        <v>4</v>
      </c>
      <c r="L14" s="40"/>
      <c r="M14" s="40"/>
      <c r="N14" s="41"/>
      <c r="O14" s="41"/>
      <c r="P14" s="40"/>
      <c r="Q14" s="42"/>
      <c r="R14" s="42"/>
      <c r="S14" s="42"/>
      <c r="T14" s="42"/>
      <c r="U14" s="42"/>
      <c r="V14" s="42">
        <f t="shared" si="0"/>
        <v>5</v>
      </c>
      <c r="W14" s="43">
        <f>V14/V13</f>
        <v>0.14705882352941177</v>
      </c>
    </row>
    <row r="15" spans="1:24" ht="70.5" customHeight="1">
      <c r="A15" s="19" t="s">
        <v>13</v>
      </c>
      <c r="B15" s="20" t="s">
        <v>95</v>
      </c>
      <c r="C15" s="21" t="s">
        <v>34</v>
      </c>
      <c r="D15" s="21" t="s">
        <v>32</v>
      </c>
      <c r="E15" s="50" t="s">
        <v>33</v>
      </c>
      <c r="F15" s="39" t="s">
        <v>106</v>
      </c>
      <c r="G15" s="37">
        <v>1</v>
      </c>
      <c r="H15" s="37">
        <v>1</v>
      </c>
      <c r="I15" s="38"/>
      <c r="J15" s="40" t="s">
        <v>156</v>
      </c>
      <c r="K15" s="40" t="s">
        <v>156</v>
      </c>
      <c r="L15" s="40" t="s">
        <v>156</v>
      </c>
      <c r="M15" s="40"/>
      <c r="N15" s="41"/>
      <c r="O15" s="41"/>
      <c r="P15" s="40"/>
      <c r="Q15" s="42"/>
      <c r="R15" s="42"/>
      <c r="S15" s="42"/>
      <c r="T15" s="42"/>
      <c r="U15" s="42"/>
      <c r="V15" s="42">
        <f t="shared" si="0"/>
        <v>0</v>
      </c>
      <c r="W15" s="43">
        <f>V15/V14</f>
        <v>0</v>
      </c>
    </row>
    <row r="16" spans="1:24" ht="63.75">
      <c r="A16" s="9" t="s">
        <v>14</v>
      </c>
      <c r="B16" s="6" t="s">
        <v>96</v>
      </c>
      <c r="C16" s="2" t="s">
        <v>64</v>
      </c>
      <c r="D16" s="2" t="s">
        <v>63</v>
      </c>
      <c r="E16" s="49" t="s">
        <v>62</v>
      </c>
      <c r="F16" s="39">
        <v>8571</v>
      </c>
      <c r="G16" s="37">
        <v>0.5</v>
      </c>
      <c r="H16" s="38">
        <f>F16*0.5</f>
        <v>4285.5</v>
      </c>
      <c r="I16" s="38" t="s">
        <v>110</v>
      </c>
      <c r="J16" s="40">
        <v>140</v>
      </c>
      <c r="K16" s="40">
        <v>155</v>
      </c>
      <c r="L16" s="40"/>
      <c r="M16" s="40"/>
      <c r="N16" s="41"/>
      <c r="O16" s="41"/>
      <c r="P16" s="40"/>
      <c r="Q16" s="42"/>
      <c r="R16" s="42"/>
      <c r="S16" s="42"/>
      <c r="T16" s="42"/>
      <c r="U16" s="42"/>
      <c r="V16" s="42">
        <f t="shared" si="0"/>
        <v>295</v>
      </c>
      <c r="W16" s="43">
        <f t="shared" si="1"/>
        <v>6.8836775172091941E-2</v>
      </c>
    </row>
    <row r="17" spans="1:23" ht="58.5" customHeight="1">
      <c r="A17" s="9" t="s">
        <v>14</v>
      </c>
      <c r="B17" s="6" t="s">
        <v>97</v>
      </c>
      <c r="C17" s="2" t="s">
        <v>67</v>
      </c>
      <c r="D17" s="2" t="s">
        <v>66</v>
      </c>
      <c r="E17" s="49" t="s">
        <v>65</v>
      </c>
      <c r="F17" s="39" t="s">
        <v>106</v>
      </c>
      <c r="G17" s="37">
        <v>1</v>
      </c>
      <c r="H17" s="37">
        <v>1</v>
      </c>
      <c r="I17" s="38"/>
      <c r="J17" s="40">
        <v>0</v>
      </c>
      <c r="K17" s="40">
        <v>0</v>
      </c>
      <c r="L17" s="40"/>
      <c r="M17" s="40"/>
      <c r="N17" s="41"/>
      <c r="O17" s="41"/>
      <c r="P17" s="40"/>
      <c r="Q17" s="42"/>
      <c r="R17" s="42"/>
      <c r="S17" s="42"/>
      <c r="T17" s="42"/>
      <c r="U17" s="42"/>
      <c r="V17" s="42">
        <f t="shared" si="0"/>
        <v>0</v>
      </c>
      <c r="W17" s="43">
        <f>V17/V16</f>
        <v>0</v>
      </c>
    </row>
    <row r="18" spans="1:23" ht="76.5">
      <c r="A18" s="9" t="s">
        <v>14</v>
      </c>
      <c r="B18" s="6" t="s">
        <v>99</v>
      </c>
      <c r="C18" s="2" t="s">
        <v>36</v>
      </c>
      <c r="D18" s="2" t="s">
        <v>68</v>
      </c>
      <c r="E18" s="49" t="s">
        <v>35</v>
      </c>
      <c r="F18" s="39" t="s">
        <v>106</v>
      </c>
      <c r="G18" s="37">
        <v>1</v>
      </c>
      <c r="H18" s="37">
        <v>1</v>
      </c>
      <c r="I18" s="38"/>
      <c r="J18" s="40">
        <v>0</v>
      </c>
      <c r="K18" s="40">
        <v>0</v>
      </c>
      <c r="L18" s="40"/>
      <c r="M18" s="40"/>
      <c r="N18" s="41"/>
      <c r="O18" s="41"/>
      <c r="P18" s="40"/>
      <c r="Q18" s="42"/>
      <c r="R18" s="42"/>
      <c r="S18" s="42"/>
      <c r="T18" s="42"/>
      <c r="U18" s="42"/>
      <c r="V18" s="42">
        <f t="shared" si="0"/>
        <v>0</v>
      </c>
      <c r="W18" s="43" t="e">
        <f>V18/V17</f>
        <v>#DIV/0!</v>
      </c>
    </row>
    <row r="22" spans="1:23">
      <c r="A22" s="12" t="s">
        <v>162</v>
      </c>
    </row>
    <row r="23" spans="1:23">
      <c r="A23" s="53">
        <v>46129</v>
      </c>
      <c r="B23" s="12" t="s">
        <v>157</v>
      </c>
      <c r="D23" s="12" t="s">
        <v>159</v>
      </c>
    </row>
    <row r="24" spans="1:23">
      <c r="B24" s="12" t="s">
        <v>158</v>
      </c>
    </row>
    <row r="25" spans="1:23">
      <c r="B25" s="12" t="s">
        <v>160</v>
      </c>
    </row>
    <row r="26" spans="1:23">
      <c r="B26" s="12" t="s">
        <v>161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8743-B734-48F0-9456-3E558B8B56BE}">
  <sheetPr>
    <tabColor theme="4" tint="0.39997558519241921"/>
  </sheetPr>
  <dimension ref="A1:W18"/>
  <sheetViews>
    <sheetView topLeftCell="D1" workbookViewId="0">
      <pane ySplit="1" topLeftCell="A2" activePane="bottomLeft" state="frozen"/>
      <selection activeCell="E1" sqref="E1"/>
      <selection pane="bottomLeft" activeCell="J8" sqref="J8:L8"/>
    </sheetView>
  </sheetViews>
  <sheetFormatPr baseColWidth="10" defaultColWidth="9.140625" defaultRowHeight="12.75"/>
  <cols>
    <col min="1" max="1" width="11.5703125" style="12" customWidth="1"/>
    <col min="2" max="2" width="15.85546875" style="12" customWidth="1"/>
    <col min="3" max="3" width="37.5703125" style="12" customWidth="1"/>
    <col min="4" max="4" width="34.5703125" style="12" customWidth="1"/>
    <col min="5" max="5" width="33.42578125" style="12" customWidth="1"/>
    <col min="6" max="6" width="18" style="12" customWidth="1"/>
    <col min="7" max="8" width="14.140625" style="11" customWidth="1"/>
    <col min="9" max="9" width="14.85546875" style="12" customWidth="1"/>
    <col min="10" max="12" width="9.42578125" style="12" customWidth="1"/>
    <col min="13" max="14" width="9.42578125" style="12" hidden="1" customWidth="1"/>
    <col min="15" max="15" width="9.7109375" style="12" hidden="1" customWidth="1"/>
    <col min="16" max="16" width="9.140625" style="12" hidden="1" customWidth="1"/>
    <col min="17" max="17" width="12.42578125" style="12" hidden="1" customWidth="1"/>
    <col min="18" max="18" width="11.42578125" style="12" hidden="1" customWidth="1"/>
    <col min="19" max="19" width="0" style="12" hidden="1" customWidth="1"/>
    <col min="20" max="20" width="10.85546875" style="12" hidden="1" customWidth="1"/>
    <col min="21" max="21" width="11.7109375" style="12" hidden="1" customWidth="1"/>
    <col min="22" max="22" width="12.7109375" style="12" customWidth="1"/>
    <col min="23" max="16384" width="9.140625" style="12"/>
  </cols>
  <sheetData>
    <row r="1" spans="1:23" s="18" customFormat="1" ht="24">
      <c r="A1" s="14" t="s">
        <v>23</v>
      </c>
      <c r="B1" s="14" t="s">
        <v>80</v>
      </c>
      <c r="C1" s="15" t="s">
        <v>24</v>
      </c>
      <c r="D1" s="15" t="s">
        <v>22</v>
      </c>
      <c r="E1" s="15" t="s">
        <v>25</v>
      </c>
      <c r="F1" s="51" t="s">
        <v>38</v>
      </c>
      <c r="G1" s="16" t="s">
        <v>100</v>
      </c>
      <c r="H1" s="16" t="s">
        <v>102</v>
      </c>
      <c r="I1" s="16" t="s">
        <v>155</v>
      </c>
      <c r="J1" s="17" t="s">
        <v>37</v>
      </c>
      <c r="K1" s="17" t="s">
        <v>1</v>
      </c>
      <c r="L1" s="17" t="s">
        <v>2</v>
      </c>
      <c r="M1" s="17" t="s">
        <v>3</v>
      </c>
      <c r="N1" s="17" t="s">
        <v>4</v>
      </c>
      <c r="O1" s="17" t="s">
        <v>5</v>
      </c>
      <c r="P1" s="17" t="s">
        <v>6</v>
      </c>
      <c r="Q1" s="17" t="s">
        <v>7</v>
      </c>
      <c r="R1" s="17" t="s">
        <v>8</v>
      </c>
      <c r="S1" s="17" t="s">
        <v>9</v>
      </c>
      <c r="T1" s="17" t="s">
        <v>10</v>
      </c>
      <c r="U1" s="17" t="s">
        <v>11</v>
      </c>
      <c r="V1" s="16" t="s">
        <v>104</v>
      </c>
      <c r="W1" s="16" t="s">
        <v>105</v>
      </c>
    </row>
    <row r="2" spans="1:23" ht="38.25">
      <c r="A2" s="22" t="s">
        <v>0</v>
      </c>
      <c r="B2" s="30" t="s">
        <v>81</v>
      </c>
      <c r="C2" s="31" t="s">
        <v>69</v>
      </c>
      <c r="D2" s="23" t="s">
        <v>71</v>
      </c>
      <c r="E2" s="32" t="s">
        <v>27</v>
      </c>
      <c r="F2" s="39">
        <v>432</v>
      </c>
      <c r="G2" s="37">
        <v>0.33</v>
      </c>
      <c r="H2" s="38">
        <f>F2*0.33</f>
        <v>142.56</v>
      </c>
      <c r="I2" s="38" t="s">
        <v>118</v>
      </c>
      <c r="J2" s="40">
        <v>14</v>
      </c>
      <c r="K2" s="40">
        <v>9</v>
      </c>
      <c r="L2" s="40">
        <v>10</v>
      </c>
      <c r="M2" s="40"/>
      <c r="N2" s="41"/>
      <c r="O2" s="41"/>
      <c r="P2" s="42"/>
      <c r="Q2" s="42"/>
      <c r="R2" s="42"/>
      <c r="S2" s="42"/>
      <c r="T2" s="42"/>
      <c r="U2" s="42"/>
      <c r="V2" s="42">
        <f>SUM(J2:U2)</f>
        <v>33</v>
      </c>
      <c r="W2" s="43">
        <f>V2/H2</f>
        <v>0.23148148148148148</v>
      </c>
    </row>
    <row r="3" spans="1:23" ht="51">
      <c r="A3" s="22" t="s">
        <v>0</v>
      </c>
      <c r="B3" s="30" t="s">
        <v>82</v>
      </c>
      <c r="C3" s="31" t="s">
        <v>50</v>
      </c>
      <c r="D3" s="23" t="s">
        <v>49</v>
      </c>
      <c r="E3" s="33" t="s">
        <v>48</v>
      </c>
      <c r="F3" s="39" t="s">
        <v>106</v>
      </c>
      <c r="G3" s="37">
        <v>1</v>
      </c>
      <c r="H3" s="37">
        <v>1</v>
      </c>
      <c r="I3" s="38"/>
      <c r="J3" s="40">
        <v>2</v>
      </c>
      <c r="K3" s="40">
        <v>2</v>
      </c>
      <c r="L3" s="40">
        <v>0</v>
      </c>
      <c r="M3" s="40"/>
      <c r="N3" s="41"/>
      <c r="O3" s="41"/>
      <c r="P3" s="42"/>
      <c r="Q3" s="42"/>
      <c r="R3" s="42"/>
      <c r="S3" s="42"/>
      <c r="T3" s="42"/>
      <c r="U3" s="42"/>
      <c r="V3" s="42">
        <f>SUM(J3:U3)</f>
        <v>4</v>
      </c>
      <c r="W3" s="44">
        <f>V3/V2</f>
        <v>0.12121212121212122</v>
      </c>
    </row>
    <row r="4" spans="1:23" ht="51">
      <c r="A4" s="22" t="s">
        <v>0</v>
      </c>
      <c r="B4" s="30" t="s">
        <v>83</v>
      </c>
      <c r="C4" s="31" t="s">
        <v>70</v>
      </c>
      <c r="D4" s="32" t="s">
        <v>72</v>
      </c>
      <c r="E4" s="45" t="s">
        <v>26</v>
      </c>
      <c r="F4" s="39">
        <v>2598</v>
      </c>
      <c r="G4" s="37">
        <v>0.2</v>
      </c>
      <c r="H4" s="38">
        <f>F4*0.2</f>
        <v>519.6</v>
      </c>
      <c r="I4" s="38" t="s">
        <v>124</v>
      </c>
      <c r="J4" s="40">
        <v>39</v>
      </c>
      <c r="K4" s="40">
        <v>7</v>
      </c>
      <c r="L4" s="40">
        <v>7</v>
      </c>
      <c r="M4" s="40"/>
      <c r="N4" s="41"/>
      <c r="O4" s="41"/>
      <c r="P4" s="40"/>
      <c r="Q4" s="42"/>
      <c r="R4" s="42"/>
      <c r="S4" s="42"/>
      <c r="T4" s="42"/>
      <c r="U4" s="42"/>
      <c r="V4" s="42">
        <f t="shared" ref="V4:V18" si="0">SUM(J4:U4)</f>
        <v>53</v>
      </c>
      <c r="W4" s="43">
        <f t="shared" ref="W4:W16" si="1">V4/H4</f>
        <v>0.10200153964588145</v>
      </c>
    </row>
    <row r="5" spans="1:23" ht="38.25">
      <c r="A5" s="22" t="s">
        <v>0</v>
      </c>
      <c r="B5" s="30" t="s">
        <v>84</v>
      </c>
      <c r="C5" s="31" t="s">
        <v>51</v>
      </c>
      <c r="D5" s="31" t="s">
        <v>46</v>
      </c>
      <c r="E5" s="46" t="s">
        <v>45</v>
      </c>
      <c r="F5" s="39" t="s">
        <v>106</v>
      </c>
      <c r="G5" s="37">
        <v>1</v>
      </c>
      <c r="H5" s="37">
        <v>1</v>
      </c>
      <c r="I5" s="38"/>
      <c r="J5" s="40">
        <v>2</v>
      </c>
      <c r="K5" s="40">
        <v>0</v>
      </c>
      <c r="L5" s="40">
        <v>0</v>
      </c>
      <c r="M5" s="40"/>
      <c r="N5" s="41"/>
      <c r="O5" s="41"/>
      <c r="P5" s="40"/>
      <c r="Q5" s="42"/>
      <c r="R5" s="42"/>
      <c r="S5" s="42"/>
      <c r="T5" s="42"/>
      <c r="U5" s="42"/>
      <c r="V5" s="42">
        <f t="shared" si="0"/>
        <v>2</v>
      </c>
      <c r="W5" s="43">
        <f>V5/V4</f>
        <v>3.7735849056603772E-2</v>
      </c>
    </row>
    <row r="6" spans="1:23" ht="51">
      <c r="A6" s="22" t="s">
        <v>0</v>
      </c>
      <c r="B6" s="22" t="s">
        <v>85</v>
      </c>
      <c r="C6" s="23" t="s">
        <v>18</v>
      </c>
      <c r="D6" s="23" t="s">
        <v>52</v>
      </c>
      <c r="E6" s="32" t="s">
        <v>47</v>
      </c>
      <c r="F6" s="39" t="s">
        <v>106</v>
      </c>
      <c r="G6" s="37">
        <v>1</v>
      </c>
      <c r="H6" s="37">
        <v>1</v>
      </c>
      <c r="I6" s="38"/>
      <c r="J6" s="40">
        <v>1</v>
      </c>
      <c r="K6" s="40">
        <v>0</v>
      </c>
      <c r="L6" s="40">
        <v>0</v>
      </c>
      <c r="M6" s="40"/>
      <c r="N6" s="41"/>
      <c r="O6" s="41"/>
      <c r="P6" s="40"/>
      <c r="Q6" s="42"/>
      <c r="R6" s="42"/>
      <c r="S6" s="42"/>
      <c r="T6" s="42"/>
      <c r="U6" s="42"/>
      <c r="V6" s="42">
        <f t="shared" si="0"/>
        <v>1</v>
      </c>
      <c r="W6" s="43">
        <f>V6/V3</f>
        <v>0.25</v>
      </c>
    </row>
    <row r="7" spans="1:23" ht="56.25" customHeight="1">
      <c r="A7" s="22" t="s">
        <v>12</v>
      </c>
      <c r="B7" s="24" t="s">
        <v>86</v>
      </c>
      <c r="C7" s="23" t="s">
        <v>53</v>
      </c>
      <c r="D7" s="23" t="s">
        <v>73</v>
      </c>
      <c r="E7" s="32" t="s">
        <v>28</v>
      </c>
      <c r="F7" s="39">
        <v>1922</v>
      </c>
      <c r="G7" s="37">
        <v>1</v>
      </c>
      <c r="H7" s="38">
        <f>F7*1</f>
        <v>1922</v>
      </c>
      <c r="I7" s="38"/>
      <c r="J7" s="40">
        <v>24</v>
      </c>
      <c r="K7" s="40">
        <v>64</v>
      </c>
      <c r="L7" s="40">
        <v>30</v>
      </c>
      <c r="M7" s="40"/>
      <c r="N7" s="41"/>
      <c r="O7" s="41"/>
      <c r="P7" s="40"/>
      <c r="Q7" s="42"/>
      <c r="R7" s="42"/>
      <c r="S7" s="42"/>
      <c r="T7" s="42"/>
      <c r="U7" s="42"/>
      <c r="V7" s="42">
        <f t="shared" si="0"/>
        <v>118</v>
      </c>
      <c r="W7" s="43">
        <f t="shared" si="1"/>
        <v>6.1394380853277836E-2</v>
      </c>
    </row>
    <row r="8" spans="1:23" ht="54" customHeight="1">
      <c r="A8" s="22" t="s">
        <v>12</v>
      </c>
      <c r="B8" s="25" t="s">
        <v>87</v>
      </c>
      <c r="C8" s="26" t="s">
        <v>54</v>
      </c>
      <c r="D8" s="26" t="s">
        <v>55</v>
      </c>
      <c r="E8" s="33" t="s">
        <v>29</v>
      </c>
      <c r="F8" s="39">
        <v>1075</v>
      </c>
      <c r="G8" s="37">
        <v>0.5</v>
      </c>
      <c r="H8" s="38">
        <f>F8*0.5</f>
        <v>537.5</v>
      </c>
      <c r="I8" s="38" t="s">
        <v>129</v>
      </c>
      <c r="J8" s="40">
        <v>15</v>
      </c>
      <c r="K8" s="40">
        <v>8</v>
      </c>
      <c r="L8" s="40">
        <v>20</v>
      </c>
      <c r="M8" s="40"/>
      <c r="N8" s="41"/>
      <c r="O8" s="41"/>
      <c r="P8" s="40"/>
      <c r="Q8" s="42"/>
      <c r="R8" s="42"/>
      <c r="S8" s="42"/>
      <c r="T8" s="42"/>
      <c r="U8" s="42"/>
      <c r="V8" s="42">
        <f t="shared" si="0"/>
        <v>43</v>
      </c>
      <c r="W8" s="43">
        <f t="shared" si="1"/>
        <v>0.08</v>
      </c>
    </row>
    <row r="9" spans="1:23" ht="54" customHeight="1">
      <c r="A9" s="22" t="s">
        <v>12</v>
      </c>
      <c r="B9" s="25" t="s">
        <v>88</v>
      </c>
      <c r="C9" s="26" t="s">
        <v>57</v>
      </c>
      <c r="D9" s="26" t="s">
        <v>74</v>
      </c>
      <c r="E9" s="33" t="s">
        <v>56</v>
      </c>
      <c r="F9" s="39" t="s">
        <v>106</v>
      </c>
      <c r="G9" s="37">
        <v>1</v>
      </c>
      <c r="H9" s="37">
        <v>1</v>
      </c>
      <c r="I9" s="38"/>
      <c r="J9" s="40">
        <v>0</v>
      </c>
      <c r="K9" s="40">
        <v>0</v>
      </c>
      <c r="L9" s="40">
        <v>0</v>
      </c>
      <c r="M9" s="40"/>
      <c r="N9" s="41"/>
      <c r="O9" s="41"/>
      <c r="P9" s="40"/>
      <c r="Q9" s="42"/>
      <c r="R9" s="42"/>
      <c r="S9" s="42"/>
      <c r="T9" s="42"/>
      <c r="U9" s="42"/>
      <c r="V9" s="42">
        <f t="shared" si="0"/>
        <v>0</v>
      </c>
      <c r="W9" s="43">
        <f>V9/V8</f>
        <v>0</v>
      </c>
    </row>
    <row r="10" spans="1:23" ht="65.25" customHeight="1">
      <c r="A10" s="27" t="s">
        <v>12</v>
      </c>
      <c r="B10" s="28" t="s">
        <v>89</v>
      </c>
      <c r="C10" s="29" t="s">
        <v>58</v>
      </c>
      <c r="D10" s="29" t="s">
        <v>75</v>
      </c>
      <c r="E10" s="45" t="s">
        <v>30</v>
      </c>
      <c r="F10" s="39" t="s">
        <v>106</v>
      </c>
      <c r="G10" s="37">
        <v>1</v>
      </c>
      <c r="H10" s="37">
        <v>1</v>
      </c>
      <c r="I10" s="38"/>
      <c r="J10" s="40">
        <v>0</v>
      </c>
      <c r="K10" s="40">
        <v>0</v>
      </c>
      <c r="L10" s="40">
        <v>0</v>
      </c>
      <c r="M10" s="40"/>
      <c r="N10" s="41"/>
      <c r="O10" s="41"/>
      <c r="P10" s="40"/>
      <c r="Q10" s="42"/>
      <c r="R10" s="42"/>
      <c r="S10" s="42"/>
      <c r="T10" s="42"/>
      <c r="U10" s="42"/>
      <c r="V10" s="42">
        <f t="shared" si="0"/>
        <v>0</v>
      </c>
      <c r="W10" s="43">
        <f>V10/V8</f>
        <v>0</v>
      </c>
    </row>
    <row r="11" spans="1:23" ht="55.5" customHeight="1">
      <c r="A11" s="22" t="s">
        <v>13</v>
      </c>
      <c r="B11" s="22" t="s">
        <v>90</v>
      </c>
      <c r="C11" s="23" t="s">
        <v>21</v>
      </c>
      <c r="D11" s="23" t="s">
        <v>76</v>
      </c>
      <c r="E11" s="32" t="s">
        <v>31</v>
      </c>
      <c r="F11" s="39">
        <v>949</v>
      </c>
      <c r="G11" s="37">
        <v>0.2</v>
      </c>
      <c r="H11" s="38">
        <f>F11*0.2</f>
        <v>189.8</v>
      </c>
      <c r="I11" s="38" t="s">
        <v>138</v>
      </c>
      <c r="J11" s="40">
        <v>22</v>
      </c>
      <c r="K11" s="40">
        <v>15</v>
      </c>
      <c r="L11" s="40">
        <v>8</v>
      </c>
      <c r="M11" s="40"/>
      <c r="N11" s="41"/>
      <c r="O11" s="41"/>
      <c r="P11" s="40"/>
      <c r="Q11" s="42"/>
      <c r="R11" s="42"/>
      <c r="S11" s="42"/>
      <c r="T11" s="42"/>
      <c r="U11" s="42"/>
      <c r="V11" s="42">
        <f t="shared" si="0"/>
        <v>45</v>
      </c>
      <c r="W11" s="43">
        <f t="shared" si="1"/>
        <v>0.23709167544783982</v>
      </c>
    </row>
    <row r="12" spans="1:23" ht="54.75" customHeight="1">
      <c r="A12" s="4" t="s">
        <v>13</v>
      </c>
      <c r="B12" s="5" t="s">
        <v>91</v>
      </c>
      <c r="C12" s="1" t="s">
        <v>19</v>
      </c>
      <c r="D12" s="1" t="s">
        <v>77</v>
      </c>
      <c r="E12" s="47" t="s">
        <v>31</v>
      </c>
      <c r="F12" s="39">
        <v>949</v>
      </c>
      <c r="G12" s="37">
        <v>0.2</v>
      </c>
      <c r="H12" s="38">
        <f>F12*0.2</f>
        <v>189.8</v>
      </c>
      <c r="I12" s="38" t="s">
        <v>143</v>
      </c>
      <c r="J12" s="40">
        <v>6</v>
      </c>
      <c r="K12" s="40">
        <v>10</v>
      </c>
      <c r="L12" s="40">
        <v>13</v>
      </c>
      <c r="M12" s="40"/>
      <c r="N12" s="41"/>
      <c r="O12" s="41"/>
      <c r="P12" s="40"/>
      <c r="Q12" s="42"/>
      <c r="R12" s="42"/>
      <c r="S12" s="42"/>
      <c r="T12" s="42"/>
      <c r="U12" s="42"/>
      <c r="V12" s="42">
        <f t="shared" si="0"/>
        <v>29</v>
      </c>
      <c r="W12" s="43">
        <f t="shared" si="1"/>
        <v>0.15279241306638566</v>
      </c>
    </row>
    <row r="13" spans="1:23" ht="63" customHeight="1">
      <c r="A13" s="8" t="s">
        <v>13</v>
      </c>
      <c r="B13" s="7" t="s">
        <v>92</v>
      </c>
      <c r="C13" s="3" t="s">
        <v>20</v>
      </c>
      <c r="D13" s="3" t="s">
        <v>59</v>
      </c>
      <c r="E13" s="48" t="s">
        <v>31</v>
      </c>
      <c r="F13" s="39">
        <v>949</v>
      </c>
      <c r="G13" s="37">
        <v>0.2</v>
      </c>
      <c r="H13" s="38">
        <f>F13*0.2</f>
        <v>189.8</v>
      </c>
      <c r="I13" s="38" t="s">
        <v>152</v>
      </c>
      <c r="J13" s="40">
        <v>4</v>
      </c>
      <c r="K13" s="40">
        <v>1</v>
      </c>
      <c r="L13" s="40">
        <v>1</v>
      </c>
      <c r="M13" s="40"/>
      <c r="N13" s="41"/>
      <c r="O13" s="41"/>
      <c r="P13" s="40"/>
      <c r="Q13" s="42"/>
      <c r="R13" s="42"/>
      <c r="S13" s="42"/>
      <c r="T13" s="42"/>
      <c r="U13" s="42"/>
      <c r="V13" s="42">
        <f t="shared" si="0"/>
        <v>6</v>
      </c>
      <c r="W13" s="43">
        <f t="shared" si="1"/>
        <v>3.1612223393045306E-2</v>
      </c>
    </row>
    <row r="14" spans="1:23" ht="63" customHeight="1">
      <c r="A14" s="9" t="s">
        <v>13</v>
      </c>
      <c r="B14" s="6" t="s">
        <v>107</v>
      </c>
      <c r="C14" s="2" t="s">
        <v>93</v>
      </c>
      <c r="D14" s="2" t="s">
        <v>61</v>
      </c>
      <c r="E14" s="49" t="s">
        <v>60</v>
      </c>
      <c r="F14" s="39" t="s">
        <v>106</v>
      </c>
      <c r="G14" s="37">
        <v>1</v>
      </c>
      <c r="H14" s="37">
        <v>1</v>
      </c>
      <c r="I14" s="38"/>
      <c r="J14" s="40">
        <v>0</v>
      </c>
      <c r="K14" s="40">
        <v>0</v>
      </c>
      <c r="L14" s="40">
        <v>1</v>
      </c>
      <c r="M14" s="40"/>
      <c r="N14" s="41"/>
      <c r="O14" s="41"/>
      <c r="P14" s="40"/>
      <c r="Q14" s="42"/>
      <c r="R14" s="42"/>
      <c r="S14" s="42"/>
      <c r="T14" s="42"/>
      <c r="U14" s="42"/>
      <c r="V14" s="42">
        <f t="shared" si="0"/>
        <v>1</v>
      </c>
      <c r="W14" s="43">
        <f>V14/V13</f>
        <v>0.16666666666666666</v>
      </c>
    </row>
    <row r="15" spans="1:23" ht="70.5" customHeight="1">
      <c r="A15" s="19" t="s">
        <v>13</v>
      </c>
      <c r="B15" s="20" t="s">
        <v>95</v>
      </c>
      <c r="C15" s="21" t="s">
        <v>34</v>
      </c>
      <c r="D15" s="21" t="s">
        <v>32</v>
      </c>
      <c r="E15" s="50" t="s">
        <v>33</v>
      </c>
      <c r="F15" s="39" t="s">
        <v>106</v>
      </c>
      <c r="G15" s="37">
        <v>1</v>
      </c>
      <c r="H15" s="37">
        <v>1</v>
      </c>
      <c r="I15" s="38"/>
      <c r="J15" s="40">
        <v>0</v>
      </c>
      <c r="K15" s="40">
        <v>0</v>
      </c>
      <c r="L15" s="40">
        <v>0</v>
      </c>
      <c r="M15" s="40"/>
      <c r="N15" s="41"/>
      <c r="O15" s="41"/>
      <c r="P15" s="40"/>
      <c r="Q15" s="42"/>
      <c r="R15" s="42"/>
      <c r="S15" s="42"/>
      <c r="T15" s="42"/>
      <c r="U15" s="42"/>
      <c r="V15" s="42">
        <f t="shared" si="0"/>
        <v>0</v>
      </c>
      <c r="W15" s="43">
        <f>V15/V14</f>
        <v>0</v>
      </c>
    </row>
    <row r="16" spans="1:23" ht="63.75">
      <c r="A16" s="9" t="s">
        <v>14</v>
      </c>
      <c r="B16" s="6" t="s">
        <v>96</v>
      </c>
      <c r="C16" s="2" t="s">
        <v>64</v>
      </c>
      <c r="D16" s="2" t="s">
        <v>63</v>
      </c>
      <c r="E16" s="49" t="s">
        <v>62</v>
      </c>
      <c r="F16" s="39">
        <v>2175</v>
      </c>
      <c r="G16" s="37">
        <v>0.5</v>
      </c>
      <c r="H16" s="38">
        <f>F16*0.5</f>
        <v>1087.5</v>
      </c>
      <c r="I16" s="38" t="s">
        <v>111</v>
      </c>
      <c r="J16" s="40">
        <v>16</v>
      </c>
      <c r="K16" s="40">
        <v>11</v>
      </c>
      <c r="L16" s="40">
        <v>10</v>
      </c>
      <c r="M16" s="40"/>
      <c r="N16" s="41"/>
      <c r="O16" s="41"/>
      <c r="P16" s="40"/>
      <c r="Q16" s="42"/>
      <c r="R16" s="42"/>
      <c r="S16" s="42"/>
      <c r="T16" s="42"/>
      <c r="U16" s="42"/>
      <c r="V16" s="42">
        <f t="shared" si="0"/>
        <v>37</v>
      </c>
      <c r="W16" s="43">
        <f t="shared" si="1"/>
        <v>3.4022988505747129E-2</v>
      </c>
    </row>
    <row r="17" spans="1:23" ht="58.5" customHeight="1">
      <c r="A17" s="9" t="s">
        <v>14</v>
      </c>
      <c r="B17" s="6" t="s">
        <v>97</v>
      </c>
      <c r="C17" s="2" t="s">
        <v>67</v>
      </c>
      <c r="D17" s="2" t="s">
        <v>66</v>
      </c>
      <c r="E17" s="49" t="s">
        <v>65</v>
      </c>
      <c r="F17" s="39" t="s">
        <v>106</v>
      </c>
      <c r="G17" s="37">
        <v>1</v>
      </c>
      <c r="H17" s="37">
        <v>1</v>
      </c>
      <c r="I17" s="38"/>
      <c r="J17" s="40">
        <v>0</v>
      </c>
      <c r="K17" s="40">
        <v>2</v>
      </c>
      <c r="L17" s="40">
        <v>1</v>
      </c>
      <c r="M17" s="40"/>
      <c r="N17" s="41"/>
      <c r="O17" s="41"/>
      <c r="P17" s="40"/>
      <c r="Q17" s="42"/>
      <c r="R17" s="42"/>
      <c r="S17" s="42"/>
      <c r="T17" s="42"/>
      <c r="U17" s="42"/>
      <c r="V17" s="42">
        <f t="shared" si="0"/>
        <v>3</v>
      </c>
      <c r="W17" s="43">
        <f>V17/V16</f>
        <v>8.1081081081081086E-2</v>
      </c>
    </row>
    <row r="18" spans="1:23" ht="76.5">
      <c r="A18" s="9" t="s">
        <v>14</v>
      </c>
      <c r="B18" s="6" t="s">
        <v>99</v>
      </c>
      <c r="C18" s="2" t="s">
        <v>36</v>
      </c>
      <c r="D18" s="2" t="s">
        <v>68</v>
      </c>
      <c r="E18" s="49" t="s">
        <v>35</v>
      </c>
      <c r="F18" s="39" t="s">
        <v>106</v>
      </c>
      <c r="G18" s="37">
        <v>1</v>
      </c>
      <c r="H18" s="37">
        <v>1</v>
      </c>
      <c r="I18" s="38"/>
      <c r="J18" s="40">
        <v>0</v>
      </c>
      <c r="K18" s="40">
        <v>2</v>
      </c>
      <c r="L18" s="40">
        <v>1</v>
      </c>
      <c r="M18" s="40"/>
      <c r="N18" s="41"/>
      <c r="O18" s="41"/>
      <c r="P18" s="40"/>
      <c r="Q18" s="42"/>
      <c r="R18" s="42"/>
      <c r="S18" s="42"/>
      <c r="T18" s="42"/>
      <c r="U18" s="42"/>
      <c r="V18" s="42">
        <f t="shared" si="0"/>
        <v>3</v>
      </c>
      <c r="W18" s="43">
        <f>V18/V17</f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CB4B-FEFA-4022-9A73-530EBF83125A}">
  <sheetPr>
    <tabColor theme="4" tint="0.39997558519241921"/>
  </sheetPr>
  <dimension ref="A1:X26"/>
  <sheetViews>
    <sheetView topLeftCell="C1" workbookViewId="0">
      <pane ySplit="1" topLeftCell="A2" activePane="bottomLeft" state="frozen"/>
      <selection activeCell="E1" sqref="E1"/>
      <selection pane="bottomLeft" activeCell="D4" sqref="D4"/>
    </sheetView>
  </sheetViews>
  <sheetFormatPr baseColWidth="10" defaultColWidth="9.140625" defaultRowHeight="12.75"/>
  <cols>
    <col min="1" max="1" width="11.5703125" style="12" customWidth="1"/>
    <col min="2" max="2" width="15.85546875" style="12" customWidth="1"/>
    <col min="3" max="3" width="37.5703125" style="12" customWidth="1"/>
    <col min="4" max="4" width="34.5703125" style="12" customWidth="1"/>
    <col min="5" max="5" width="33.42578125" style="12" customWidth="1"/>
    <col min="6" max="6" width="18" style="12" customWidth="1"/>
    <col min="7" max="8" width="14.140625" style="11" customWidth="1"/>
    <col min="9" max="9" width="14.85546875" style="12" customWidth="1"/>
    <col min="10" max="12" width="9.42578125" style="12" customWidth="1"/>
    <col min="13" max="14" width="9.42578125" style="12" hidden="1" customWidth="1"/>
    <col min="15" max="15" width="9.7109375" style="12" hidden="1" customWidth="1"/>
    <col min="16" max="16" width="9.140625" style="12" hidden="1" customWidth="1"/>
    <col min="17" max="17" width="12.42578125" style="12" hidden="1" customWidth="1"/>
    <col min="18" max="18" width="11.42578125" style="12" hidden="1" customWidth="1"/>
    <col min="19" max="19" width="0" style="12" hidden="1" customWidth="1"/>
    <col min="20" max="20" width="10.85546875" style="12" hidden="1" customWidth="1"/>
    <col min="21" max="21" width="11.7109375" style="12" hidden="1" customWidth="1"/>
    <col min="22" max="22" width="12.7109375" style="12" customWidth="1"/>
    <col min="23" max="16384" width="9.140625" style="12"/>
  </cols>
  <sheetData>
    <row r="1" spans="1:24" s="18" customFormat="1" ht="24">
      <c r="A1" s="14" t="s">
        <v>23</v>
      </c>
      <c r="B1" s="14" t="s">
        <v>80</v>
      </c>
      <c r="C1" s="15" t="s">
        <v>24</v>
      </c>
      <c r="D1" s="15" t="s">
        <v>22</v>
      </c>
      <c r="E1" s="15" t="s">
        <v>25</v>
      </c>
      <c r="F1" s="51" t="s">
        <v>38</v>
      </c>
      <c r="G1" s="16" t="s">
        <v>100</v>
      </c>
      <c r="H1" s="16" t="s">
        <v>102</v>
      </c>
      <c r="I1" s="16" t="s">
        <v>155</v>
      </c>
      <c r="J1" s="17" t="s">
        <v>37</v>
      </c>
      <c r="K1" s="17" t="s">
        <v>1</v>
      </c>
      <c r="L1" s="17" t="s">
        <v>2</v>
      </c>
      <c r="M1" s="17" t="s">
        <v>3</v>
      </c>
      <c r="N1" s="17" t="s">
        <v>4</v>
      </c>
      <c r="O1" s="17" t="s">
        <v>5</v>
      </c>
      <c r="P1" s="17" t="s">
        <v>6</v>
      </c>
      <c r="Q1" s="17" t="s">
        <v>7</v>
      </c>
      <c r="R1" s="17" t="s">
        <v>8</v>
      </c>
      <c r="S1" s="17" t="s">
        <v>9</v>
      </c>
      <c r="T1" s="17" t="s">
        <v>10</v>
      </c>
      <c r="U1" s="17" t="s">
        <v>11</v>
      </c>
      <c r="V1" s="16" t="s">
        <v>104</v>
      </c>
      <c r="W1" s="16" t="s">
        <v>105</v>
      </c>
    </row>
    <row r="2" spans="1:24" ht="38.25">
      <c r="A2" s="22" t="s">
        <v>0</v>
      </c>
      <c r="B2" s="30" t="s">
        <v>81</v>
      </c>
      <c r="C2" s="31" t="s">
        <v>69</v>
      </c>
      <c r="D2" s="23" t="s">
        <v>71</v>
      </c>
      <c r="E2" s="32" t="s">
        <v>27</v>
      </c>
      <c r="F2" s="39">
        <v>452</v>
      </c>
      <c r="G2" s="37">
        <v>0.33</v>
      </c>
      <c r="H2" s="38">
        <f>F2*0.33</f>
        <v>149.16</v>
      </c>
      <c r="I2" s="38"/>
      <c r="J2" s="40">
        <v>4</v>
      </c>
      <c r="K2" s="40">
        <v>9</v>
      </c>
      <c r="L2" s="40"/>
      <c r="M2" s="40"/>
      <c r="N2" s="41"/>
      <c r="O2" s="41"/>
      <c r="P2" s="42"/>
      <c r="Q2" s="42"/>
      <c r="R2" s="42"/>
      <c r="S2" s="42"/>
      <c r="T2" s="42"/>
      <c r="U2" s="42"/>
      <c r="V2" s="42">
        <f>SUM(J2:U2)</f>
        <v>13</v>
      </c>
      <c r="W2" s="43">
        <f>V2/H2</f>
        <v>8.7154733172432289E-2</v>
      </c>
    </row>
    <row r="3" spans="1:24" ht="51">
      <c r="A3" s="22" t="s">
        <v>0</v>
      </c>
      <c r="B3" s="30" t="s">
        <v>82</v>
      </c>
      <c r="C3" s="31" t="s">
        <v>50</v>
      </c>
      <c r="D3" s="23" t="s">
        <v>49</v>
      </c>
      <c r="E3" s="33" t="s">
        <v>48</v>
      </c>
      <c r="F3" s="39" t="s">
        <v>106</v>
      </c>
      <c r="G3" s="37">
        <v>1</v>
      </c>
      <c r="H3" s="37">
        <v>1</v>
      </c>
      <c r="I3" s="38"/>
      <c r="J3" s="40">
        <v>2</v>
      </c>
      <c r="K3" s="40">
        <v>2</v>
      </c>
      <c r="L3" s="40"/>
      <c r="M3" s="40"/>
      <c r="N3" s="41"/>
      <c r="O3" s="41"/>
      <c r="P3" s="42"/>
      <c r="Q3" s="42"/>
      <c r="R3" s="42"/>
      <c r="S3" s="42"/>
      <c r="T3" s="42"/>
      <c r="U3" s="42"/>
      <c r="V3" s="42">
        <f>SUM(J3:U3)</f>
        <v>4</v>
      </c>
      <c r="W3" s="44">
        <f>V3/V2</f>
        <v>0.30769230769230771</v>
      </c>
      <c r="X3" s="12">
        <v>3438</v>
      </c>
    </row>
    <row r="4" spans="1:24" ht="51">
      <c r="A4" s="22" t="s">
        <v>0</v>
      </c>
      <c r="B4" s="30" t="s">
        <v>83</v>
      </c>
      <c r="C4" s="31" t="s">
        <v>70</v>
      </c>
      <c r="D4" s="32" t="s">
        <v>72</v>
      </c>
      <c r="E4" s="45" t="s">
        <v>26</v>
      </c>
      <c r="F4" s="39">
        <v>3070</v>
      </c>
      <c r="G4" s="37">
        <v>0.2</v>
      </c>
      <c r="H4" s="38">
        <f>F4*0.2</f>
        <v>614</v>
      </c>
      <c r="I4" s="38" t="s">
        <v>123</v>
      </c>
      <c r="J4" s="40">
        <v>2</v>
      </c>
      <c r="K4" s="40">
        <v>55</v>
      </c>
      <c r="L4" s="40"/>
      <c r="M4" s="40"/>
      <c r="N4" s="41"/>
      <c r="O4" s="41"/>
      <c r="P4" s="40"/>
      <c r="Q4" s="42"/>
      <c r="R4" s="42"/>
      <c r="S4" s="42"/>
      <c r="T4" s="42"/>
      <c r="U4" s="42"/>
      <c r="V4" s="42">
        <f t="shared" ref="V4:V18" si="0">SUM(J4:U4)</f>
        <v>57</v>
      </c>
      <c r="W4" s="43">
        <f t="shared" ref="W4:W16" si="1">V4/H4</f>
        <v>9.2833876221498371E-2</v>
      </c>
    </row>
    <row r="5" spans="1:24" ht="38.25">
      <c r="A5" s="22" t="s">
        <v>0</v>
      </c>
      <c r="B5" s="30" t="s">
        <v>84</v>
      </c>
      <c r="C5" s="31" t="s">
        <v>51</v>
      </c>
      <c r="D5" s="31" t="s">
        <v>46</v>
      </c>
      <c r="E5" s="46" t="s">
        <v>45</v>
      </c>
      <c r="F5" s="39" t="s">
        <v>106</v>
      </c>
      <c r="G5" s="37">
        <v>1</v>
      </c>
      <c r="H5" s="37">
        <v>1</v>
      </c>
      <c r="I5" s="38"/>
      <c r="J5" s="40">
        <v>0</v>
      </c>
      <c r="K5" s="40">
        <v>6</v>
      </c>
      <c r="L5" s="40"/>
      <c r="M5" s="40"/>
      <c r="N5" s="41"/>
      <c r="O5" s="41"/>
      <c r="P5" s="40"/>
      <c r="Q5" s="42"/>
      <c r="R5" s="42"/>
      <c r="S5" s="42"/>
      <c r="T5" s="42"/>
      <c r="U5" s="42"/>
      <c r="V5" s="42">
        <f t="shared" si="0"/>
        <v>6</v>
      </c>
      <c r="W5" s="43">
        <f>V5/V4</f>
        <v>0.10526315789473684</v>
      </c>
    </row>
    <row r="6" spans="1:24" ht="51">
      <c r="A6" s="22" t="s">
        <v>0</v>
      </c>
      <c r="B6" s="22" t="s">
        <v>85</v>
      </c>
      <c r="C6" s="23" t="s">
        <v>18</v>
      </c>
      <c r="D6" s="23" t="s">
        <v>52</v>
      </c>
      <c r="E6" s="32" t="s">
        <v>47</v>
      </c>
      <c r="F6" s="39" t="s">
        <v>106</v>
      </c>
      <c r="G6" s="37">
        <v>1</v>
      </c>
      <c r="H6" s="37">
        <v>1</v>
      </c>
      <c r="I6" s="38"/>
      <c r="J6" s="40">
        <v>3</v>
      </c>
      <c r="K6" s="40">
        <v>0</v>
      </c>
      <c r="L6" s="40"/>
      <c r="M6" s="40"/>
      <c r="N6" s="41"/>
      <c r="O6" s="41"/>
      <c r="P6" s="40"/>
      <c r="Q6" s="42"/>
      <c r="R6" s="42"/>
      <c r="S6" s="42"/>
      <c r="T6" s="42"/>
      <c r="U6" s="42"/>
      <c r="V6" s="42">
        <f t="shared" si="0"/>
        <v>3</v>
      </c>
      <c r="W6" s="43">
        <f>V6/V3</f>
        <v>0.75</v>
      </c>
    </row>
    <row r="7" spans="1:24" ht="56.25" customHeight="1">
      <c r="A7" s="22" t="s">
        <v>12</v>
      </c>
      <c r="B7" s="24" t="s">
        <v>86</v>
      </c>
      <c r="C7" s="23" t="s">
        <v>53</v>
      </c>
      <c r="D7" s="23" t="s">
        <v>73</v>
      </c>
      <c r="E7" s="32" t="s">
        <v>28</v>
      </c>
      <c r="F7" s="39">
        <v>2331</v>
      </c>
      <c r="G7" s="37">
        <v>1</v>
      </c>
      <c r="H7" s="38">
        <f>F7*1</f>
        <v>2331</v>
      </c>
      <c r="I7" s="38"/>
      <c r="J7" s="40">
        <v>329</v>
      </c>
      <c r="K7" s="40">
        <v>441</v>
      </c>
      <c r="L7" s="40">
        <v>51</v>
      </c>
      <c r="M7" s="40"/>
      <c r="N7" s="41"/>
      <c r="O7" s="41"/>
      <c r="P7" s="40"/>
      <c r="Q7" s="42"/>
      <c r="R7" s="42"/>
      <c r="S7" s="42"/>
      <c r="T7" s="42"/>
      <c r="U7" s="42"/>
      <c r="V7" s="42">
        <f t="shared" si="0"/>
        <v>821</v>
      </c>
      <c r="W7" s="43">
        <f t="shared" si="1"/>
        <v>0.35220935220935223</v>
      </c>
      <c r="X7" s="12">
        <v>2282</v>
      </c>
    </row>
    <row r="8" spans="1:24" ht="54" customHeight="1">
      <c r="A8" s="22" t="s">
        <v>12</v>
      </c>
      <c r="B8" s="25" t="s">
        <v>87</v>
      </c>
      <c r="C8" s="26" t="s">
        <v>54</v>
      </c>
      <c r="D8" s="26" t="s">
        <v>55</v>
      </c>
      <c r="E8" s="33" t="s">
        <v>29</v>
      </c>
      <c r="F8" s="39">
        <v>1332</v>
      </c>
      <c r="G8" s="37">
        <v>0.5</v>
      </c>
      <c r="H8" s="38">
        <f>F8*0.5</f>
        <v>666</v>
      </c>
      <c r="I8" s="38" t="s">
        <v>130</v>
      </c>
      <c r="J8" s="40">
        <v>53</v>
      </c>
      <c r="K8" s="40">
        <v>93</v>
      </c>
      <c r="L8" s="40">
        <v>24</v>
      </c>
      <c r="M8" s="40"/>
      <c r="N8" s="41"/>
      <c r="O8" s="41"/>
      <c r="P8" s="40"/>
      <c r="Q8" s="42"/>
      <c r="R8" s="42"/>
      <c r="S8" s="42"/>
      <c r="T8" s="42"/>
      <c r="U8" s="42"/>
      <c r="V8" s="42">
        <f t="shared" si="0"/>
        <v>170</v>
      </c>
      <c r="W8" s="43">
        <f t="shared" si="1"/>
        <v>0.25525525525525528</v>
      </c>
    </row>
    <row r="9" spans="1:24" ht="54" customHeight="1">
      <c r="A9" s="22" t="s">
        <v>12</v>
      </c>
      <c r="B9" s="25" t="s">
        <v>88</v>
      </c>
      <c r="C9" s="26" t="s">
        <v>57</v>
      </c>
      <c r="D9" s="26" t="s">
        <v>74</v>
      </c>
      <c r="E9" s="33" t="s">
        <v>56</v>
      </c>
      <c r="F9" s="39" t="s">
        <v>106</v>
      </c>
      <c r="G9" s="37">
        <v>1</v>
      </c>
      <c r="H9" s="37">
        <v>1</v>
      </c>
      <c r="I9" s="38"/>
      <c r="J9" s="40">
        <v>0</v>
      </c>
      <c r="K9" s="40">
        <v>0</v>
      </c>
      <c r="L9" s="40">
        <v>0</v>
      </c>
      <c r="M9" s="40"/>
      <c r="N9" s="41"/>
      <c r="O9" s="41"/>
      <c r="P9" s="40"/>
      <c r="Q9" s="42"/>
      <c r="R9" s="42"/>
      <c r="S9" s="42"/>
      <c r="T9" s="42"/>
      <c r="U9" s="42"/>
      <c r="V9" s="42">
        <f t="shared" si="0"/>
        <v>0</v>
      </c>
      <c r="W9" s="43">
        <f>V9/V8</f>
        <v>0</v>
      </c>
    </row>
    <row r="10" spans="1:24" ht="65.25" customHeight="1">
      <c r="A10" s="27" t="s">
        <v>12</v>
      </c>
      <c r="B10" s="28" t="s">
        <v>89</v>
      </c>
      <c r="C10" s="29" t="s">
        <v>58</v>
      </c>
      <c r="D10" s="29" t="s">
        <v>75</v>
      </c>
      <c r="E10" s="45" t="s">
        <v>30</v>
      </c>
      <c r="F10" s="39" t="s">
        <v>106</v>
      </c>
      <c r="G10" s="37">
        <v>1</v>
      </c>
      <c r="H10" s="37">
        <v>1</v>
      </c>
      <c r="I10" s="38"/>
      <c r="J10" s="40">
        <v>0</v>
      </c>
      <c r="K10" s="40">
        <v>0</v>
      </c>
      <c r="L10" s="40">
        <v>0</v>
      </c>
      <c r="M10" s="40"/>
      <c r="N10" s="41"/>
      <c r="O10" s="41"/>
      <c r="P10" s="40"/>
      <c r="Q10" s="42"/>
      <c r="R10" s="42"/>
      <c r="S10" s="42"/>
      <c r="T10" s="42"/>
      <c r="U10" s="42"/>
      <c r="V10" s="42">
        <f t="shared" si="0"/>
        <v>0</v>
      </c>
      <c r="W10" s="43">
        <f>V10/V8</f>
        <v>0</v>
      </c>
    </row>
    <row r="11" spans="1:24" ht="55.5" customHeight="1">
      <c r="A11" s="22" t="s">
        <v>13</v>
      </c>
      <c r="B11" s="22" t="s">
        <v>90</v>
      </c>
      <c r="C11" s="23" t="s">
        <v>21</v>
      </c>
      <c r="D11" s="23" t="s">
        <v>76</v>
      </c>
      <c r="E11" s="32" t="s">
        <v>31</v>
      </c>
      <c r="F11" s="39">
        <v>1452</v>
      </c>
      <c r="G11" s="37">
        <v>0.2</v>
      </c>
      <c r="H11" s="38">
        <f>F11*0.2</f>
        <v>290.40000000000003</v>
      </c>
      <c r="I11" s="38" t="s">
        <v>137</v>
      </c>
      <c r="J11" s="40">
        <v>45</v>
      </c>
      <c r="K11" s="40">
        <v>48</v>
      </c>
      <c r="L11" s="40">
        <v>68</v>
      </c>
      <c r="M11" s="40"/>
      <c r="N11" s="41"/>
      <c r="O11" s="41"/>
      <c r="P11" s="40"/>
      <c r="Q11" s="42"/>
      <c r="R11" s="42"/>
      <c r="S11" s="42"/>
      <c r="T11" s="42"/>
      <c r="U11" s="42"/>
      <c r="V11" s="42">
        <f t="shared" si="0"/>
        <v>161</v>
      </c>
      <c r="W11" s="43">
        <f t="shared" si="1"/>
        <v>0.5544077134986225</v>
      </c>
      <c r="X11" s="12">
        <v>1424</v>
      </c>
    </row>
    <row r="12" spans="1:24" ht="54.75" customHeight="1">
      <c r="A12" s="4" t="s">
        <v>13</v>
      </c>
      <c r="B12" s="5" t="s">
        <v>91</v>
      </c>
      <c r="C12" s="1" t="s">
        <v>19</v>
      </c>
      <c r="D12" s="1" t="s">
        <v>77</v>
      </c>
      <c r="E12" s="47" t="s">
        <v>31</v>
      </c>
      <c r="F12" s="39">
        <v>1452</v>
      </c>
      <c r="G12" s="37">
        <v>0.2</v>
      </c>
      <c r="H12" s="38">
        <f>F12*0.2</f>
        <v>290.40000000000003</v>
      </c>
      <c r="I12" s="38" t="s">
        <v>144</v>
      </c>
      <c r="J12" s="40">
        <v>27</v>
      </c>
      <c r="K12" s="40">
        <v>39</v>
      </c>
      <c r="L12" s="40">
        <v>11</v>
      </c>
      <c r="M12" s="40"/>
      <c r="N12" s="41"/>
      <c r="O12" s="41"/>
      <c r="P12" s="40"/>
      <c r="Q12" s="42"/>
      <c r="R12" s="42"/>
      <c r="S12" s="42"/>
      <c r="T12" s="42"/>
      <c r="U12" s="42"/>
      <c r="V12" s="42">
        <f t="shared" si="0"/>
        <v>77</v>
      </c>
      <c r="W12" s="43">
        <f t="shared" si="1"/>
        <v>0.26515151515151514</v>
      </c>
    </row>
    <row r="13" spans="1:24" ht="63" customHeight="1">
      <c r="A13" s="8" t="s">
        <v>13</v>
      </c>
      <c r="B13" s="7" t="s">
        <v>92</v>
      </c>
      <c r="C13" s="3" t="s">
        <v>20</v>
      </c>
      <c r="D13" s="3" t="s">
        <v>59</v>
      </c>
      <c r="E13" s="48" t="s">
        <v>31</v>
      </c>
      <c r="F13" s="39">
        <v>1452</v>
      </c>
      <c r="G13" s="37">
        <v>0.2</v>
      </c>
      <c r="H13" s="38">
        <f>F13*0.2</f>
        <v>290.40000000000003</v>
      </c>
      <c r="I13" s="38" t="s">
        <v>151</v>
      </c>
      <c r="J13" s="40">
        <v>4</v>
      </c>
      <c r="K13" s="40">
        <v>6</v>
      </c>
      <c r="L13" s="40">
        <v>0</v>
      </c>
      <c r="M13" s="40"/>
      <c r="N13" s="41"/>
      <c r="O13" s="41"/>
      <c r="P13" s="40"/>
      <c r="Q13" s="42"/>
      <c r="R13" s="42"/>
      <c r="S13" s="42"/>
      <c r="T13" s="42"/>
      <c r="U13" s="42"/>
      <c r="V13" s="42">
        <f t="shared" si="0"/>
        <v>10</v>
      </c>
      <c r="W13" s="43">
        <f t="shared" si="1"/>
        <v>3.4435261707988975E-2</v>
      </c>
    </row>
    <row r="14" spans="1:24" ht="63" customHeight="1">
      <c r="A14" s="9" t="s">
        <v>13</v>
      </c>
      <c r="B14" s="6" t="s">
        <v>107</v>
      </c>
      <c r="C14" s="2" t="s">
        <v>93</v>
      </c>
      <c r="D14" s="2" t="s">
        <v>61</v>
      </c>
      <c r="E14" s="49" t="s">
        <v>60</v>
      </c>
      <c r="F14" s="39" t="s">
        <v>106</v>
      </c>
      <c r="G14" s="37">
        <v>1</v>
      </c>
      <c r="H14" s="37">
        <v>1</v>
      </c>
      <c r="I14" s="38" t="s">
        <v>117</v>
      </c>
      <c r="J14" s="40">
        <v>0</v>
      </c>
      <c r="K14" s="40">
        <v>3</v>
      </c>
      <c r="L14" s="40">
        <v>1</v>
      </c>
      <c r="M14" s="40"/>
      <c r="N14" s="41"/>
      <c r="O14" s="41"/>
      <c r="P14" s="40"/>
      <c r="Q14" s="42"/>
      <c r="R14" s="42"/>
      <c r="S14" s="42"/>
      <c r="T14" s="42"/>
      <c r="U14" s="42"/>
      <c r="V14" s="42">
        <f t="shared" si="0"/>
        <v>4</v>
      </c>
      <c r="W14" s="43">
        <f>V14/V13</f>
        <v>0.4</v>
      </c>
    </row>
    <row r="15" spans="1:24" ht="70.5" customHeight="1">
      <c r="A15" s="19" t="s">
        <v>13</v>
      </c>
      <c r="B15" s="20" t="s">
        <v>95</v>
      </c>
      <c r="C15" s="21" t="s">
        <v>34</v>
      </c>
      <c r="D15" s="21" t="s">
        <v>32</v>
      </c>
      <c r="E15" s="50" t="s">
        <v>33</v>
      </c>
      <c r="F15" s="39" t="s">
        <v>106</v>
      </c>
      <c r="G15" s="37">
        <v>1</v>
      </c>
      <c r="H15" s="37">
        <v>1</v>
      </c>
      <c r="I15" s="38"/>
      <c r="J15" s="40">
        <v>0</v>
      </c>
      <c r="K15" s="40">
        <v>0</v>
      </c>
      <c r="L15" s="40">
        <v>0</v>
      </c>
      <c r="M15" s="40"/>
      <c r="N15" s="41"/>
      <c r="O15" s="41"/>
      <c r="P15" s="40"/>
      <c r="Q15" s="42"/>
      <c r="R15" s="42"/>
      <c r="S15" s="42"/>
      <c r="T15" s="42"/>
      <c r="U15" s="42"/>
      <c r="V15" s="42">
        <f t="shared" si="0"/>
        <v>0</v>
      </c>
      <c r="W15" s="43">
        <f>V15/V14</f>
        <v>0</v>
      </c>
    </row>
    <row r="16" spans="1:24" ht="63.75">
      <c r="A16" s="9" t="s">
        <v>14</v>
      </c>
      <c r="B16" s="6" t="s">
        <v>96</v>
      </c>
      <c r="C16" s="2" t="s">
        <v>64</v>
      </c>
      <c r="D16" s="2" t="s">
        <v>63</v>
      </c>
      <c r="E16" s="49" t="s">
        <v>62</v>
      </c>
      <c r="F16" s="39">
        <v>3010</v>
      </c>
      <c r="G16" s="37">
        <v>0.5</v>
      </c>
      <c r="H16" s="38">
        <f>F16*0.5</f>
        <v>1505</v>
      </c>
      <c r="I16" s="38" t="s">
        <v>112</v>
      </c>
      <c r="J16" s="40">
        <v>64</v>
      </c>
      <c r="K16" s="40">
        <v>91</v>
      </c>
      <c r="L16" s="40">
        <v>1</v>
      </c>
      <c r="M16" s="40"/>
      <c r="N16" s="41"/>
      <c r="O16" s="41"/>
      <c r="P16" s="40"/>
      <c r="Q16" s="42"/>
      <c r="R16" s="42"/>
      <c r="S16" s="42"/>
      <c r="T16" s="42"/>
      <c r="U16" s="42"/>
      <c r="V16" s="42">
        <f t="shared" si="0"/>
        <v>156</v>
      </c>
      <c r="W16" s="43">
        <f t="shared" si="1"/>
        <v>0.10365448504983389</v>
      </c>
      <c r="X16" s="12">
        <v>2992</v>
      </c>
    </row>
    <row r="17" spans="1:23" ht="58.5" customHeight="1">
      <c r="A17" s="9" t="s">
        <v>14</v>
      </c>
      <c r="B17" s="6" t="s">
        <v>97</v>
      </c>
      <c r="C17" s="2" t="s">
        <v>67</v>
      </c>
      <c r="D17" s="2" t="s">
        <v>66</v>
      </c>
      <c r="E17" s="49" t="s">
        <v>65</v>
      </c>
      <c r="F17" s="39" t="s">
        <v>106</v>
      </c>
      <c r="G17" s="37">
        <v>1</v>
      </c>
      <c r="H17" s="37">
        <v>1</v>
      </c>
      <c r="I17" s="38"/>
      <c r="J17" s="40">
        <v>1</v>
      </c>
      <c r="K17" s="40">
        <v>7</v>
      </c>
      <c r="L17" s="40">
        <v>0</v>
      </c>
      <c r="M17" s="40"/>
      <c r="N17" s="41"/>
      <c r="O17" s="41"/>
      <c r="P17" s="40"/>
      <c r="Q17" s="42"/>
      <c r="R17" s="42"/>
      <c r="S17" s="42"/>
      <c r="T17" s="42"/>
      <c r="U17" s="42"/>
      <c r="V17" s="42">
        <f t="shared" si="0"/>
        <v>8</v>
      </c>
      <c r="W17" s="43">
        <f>V17/V16</f>
        <v>5.128205128205128E-2</v>
      </c>
    </row>
    <row r="18" spans="1:23" ht="76.5">
      <c r="A18" s="9" t="s">
        <v>14</v>
      </c>
      <c r="B18" s="6" t="s">
        <v>99</v>
      </c>
      <c r="C18" s="2" t="s">
        <v>36</v>
      </c>
      <c r="D18" s="2" t="s">
        <v>68</v>
      </c>
      <c r="E18" s="49" t="s">
        <v>35</v>
      </c>
      <c r="F18" s="39" t="s">
        <v>106</v>
      </c>
      <c r="G18" s="37">
        <v>1</v>
      </c>
      <c r="H18" s="37">
        <v>1</v>
      </c>
      <c r="I18" s="38"/>
      <c r="J18" s="40">
        <v>0</v>
      </c>
      <c r="K18" s="40">
        <v>0</v>
      </c>
      <c r="L18" s="40">
        <v>0</v>
      </c>
      <c r="M18" s="40"/>
      <c r="N18" s="41"/>
      <c r="O18" s="41"/>
      <c r="P18" s="40"/>
      <c r="Q18" s="42"/>
      <c r="R18" s="42"/>
      <c r="S18" s="42"/>
      <c r="T18" s="42"/>
      <c r="U18" s="42"/>
      <c r="V18" s="42">
        <f t="shared" si="0"/>
        <v>0</v>
      </c>
      <c r="W18" s="43">
        <f>V18/V17</f>
        <v>0</v>
      </c>
    </row>
    <row r="21" spans="1:23">
      <c r="A21" s="12" t="s">
        <v>162</v>
      </c>
    </row>
    <row r="22" spans="1:23">
      <c r="A22" s="53">
        <v>46129</v>
      </c>
      <c r="B22" s="12" t="s">
        <v>170</v>
      </c>
    </row>
    <row r="23" spans="1:23">
      <c r="B23" s="12" t="s">
        <v>171</v>
      </c>
    </row>
    <row r="24" spans="1:23">
      <c r="B24" s="12" t="s">
        <v>172</v>
      </c>
    </row>
    <row r="25" spans="1:23">
      <c r="B25" s="12" t="s">
        <v>173</v>
      </c>
    </row>
    <row r="26" spans="1:23">
      <c r="B26" s="12" t="s">
        <v>174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6580-0651-4663-A055-1FF7FBC205EF}">
  <sheetPr>
    <tabColor theme="7" tint="0.59999389629810485"/>
  </sheetPr>
  <dimension ref="A1:W18"/>
  <sheetViews>
    <sheetView topLeftCell="D1" workbookViewId="0">
      <pane ySplit="1" topLeftCell="A2" activePane="bottomLeft" state="frozen"/>
      <selection activeCell="E1" sqref="E1"/>
      <selection pane="bottomLeft" activeCell="V6" sqref="V6"/>
    </sheetView>
  </sheetViews>
  <sheetFormatPr baseColWidth="10" defaultColWidth="9.140625" defaultRowHeight="12.75"/>
  <cols>
    <col min="1" max="1" width="11.5703125" style="12" customWidth="1"/>
    <col min="2" max="2" width="15.85546875" style="12" customWidth="1"/>
    <col min="3" max="3" width="37.5703125" style="12" customWidth="1"/>
    <col min="4" max="4" width="34.5703125" style="12" customWidth="1"/>
    <col min="5" max="5" width="33.42578125" style="12" customWidth="1"/>
    <col min="6" max="6" width="18" style="12" customWidth="1"/>
    <col min="7" max="8" width="14.140625" style="11" customWidth="1"/>
    <col min="9" max="9" width="14.85546875" style="12" customWidth="1"/>
    <col min="10" max="12" width="9.42578125" style="12" customWidth="1"/>
    <col min="13" max="14" width="9.42578125" style="12" hidden="1" customWidth="1"/>
    <col min="15" max="15" width="9.7109375" style="12" hidden="1" customWidth="1"/>
    <col min="16" max="16" width="9.140625" style="12" hidden="1" customWidth="1"/>
    <col min="17" max="17" width="12.42578125" style="12" hidden="1" customWidth="1"/>
    <col min="18" max="18" width="11.42578125" style="12" hidden="1" customWidth="1"/>
    <col min="19" max="19" width="0" style="12" hidden="1" customWidth="1"/>
    <col min="20" max="20" width="10.85546875" style="12" hidden="1" customWidth="1"/>
    <col min="21" max="21" width="11.7109375" style="12" hidden="1" customWidth="1"/>
    <col min="22" max="22" width="12.7109375" style="12" customWidth="1"/>
    <col min="23" max="16384" width="9.140625" style="12"/>
  </cols>
  <sheetData>
    <row r="1" spans="1:23" s="18" customFormat="1" ht="24">
      <c r="A1" s="14" t="s">
        <v>23</v>
      </c>
      <c r="B1" s="14" t="s">
        <v>80</v>
      </c>
      <c r="C1" s="15" t="s">
        <v>24</v>
      </c>
      <c r="D1" s="15" t="s">
        <v>22</v>
      </c>
      <c r="E1" s="15" t="s">
        <v>25</v>
      </c>
      <c r="F1" s="51" t="s">
        <v>38</v>
      </c>
      <c r="G1" s="16" t="s">
        <v>100</v>
      </c>
      <c r="H1" s="16" t="s">
        <v>102</v>
      </c>
      <c r="I1" s="16" t="s">
        <v>155</v>
      </c>
      <c r="J1" s="17" t="s">
        <v>37</v>
      </c>
      <c r="K1" s="17" t="s">
        <v>1</v>
      </c>
      <c r="L1" s="17" t="s">
        <v>2</v>
      </c>
      <c r="M1" s="17" t="s">
        <v>3</v>
      </c>
      <c r="N1" s="17" t="s">
        <v>4</v>
      </c>
      <c r="O1" s="17" t="s">
        <v>5</v>
      </c>
      <c r="P1" s="17" t="s">
        <v>6</v>
      </c>
      <c r="Q1" s="17" t="s">
        <v>7</v>
      </c>
      <c r="R1" s="17" t="s">
        <v>8</v>
      </c>
      <c r="S1" s="17" t="s">
        <v>9</v>
      </c>
      <c r="T1" s="17" t="s">
        <v>10</v>
      </c>
      <c r="U1" s="17" t="s">
        <v>11</v>
      </c>
      <c r="V1" s="16" t="s">
        <v>104</v>
      </c>
      <c r="W1" s="16" t="s">
        <v>105</v>
      </c>
    </row>
    <row r="2" spans="1:23" ht="38.25">
      <c r="A2" s="22" t="s">
        <v>0</v>
      </c>
      <c r="B2" s="30" t="s">
        <v>81</v>
      </c>
      <c r="C2" s="31" t="s">
        <v>69</v>
      </c>
      <c r="D2" s="23" t="s">
        <v>71</v>
      </c>
      <c r="E2" s="32" t="s">
        <v>27</v>
      </c>
      <c r="F2" s="39">
        <v>274</v>
      </c>
      <c r="G2" s="37">
        <v>0.33</v>
      </c>
      <c r="H2" s="38">
        <f>F2*0.33</f>
        <v>90.42</v>
      </c>
      <c r="I2" s="38" t="s">
        <v>116</v>
      </c>
      <c r="J2" s="40">
        <v>93</v>
      </c>
      <c r="K2" s="40">
        <v>34</v>
      </c>
      <c r="L2" s="40">
        <v>39</v>
      </c>
      <c r="M2" s="40"/>
      <c r="N2" s="41"/>
      <c r="O2" s="41"/>
      <c r="P2" s="42"/>
      <c r="Q2" s="42"/>
      <c r="R2" s="42"/>
      <c r="S2" s="42"/>
      <c r="T2" s="42"/>
      <c r="U2" s="42"/>
      <c r="V2" s="42">
        <f>SUM(J2:U2)</f>
        <v>166</v>
      </c>
      <c r="W2" s="43">
        <f>V2/H2</f>
        <v>1.83587701835877</v>
      </c>
    </row>
    <row r="3" spans="1:23" ht="51">
      <c r="A3" s="22" t="s">
        <v>0</v>
      </c>
      <c r="B3" s="30" t="s">
        <v>82</v>
      </c>
      <c r="C3" s="31" t="s">
        <v>50</v>
      </c>
      <c r="D3" s="23" t="s">
        <v>49</v>
      </c>
      <c r="E3" s="33" t="s">
        <v>48</v>
      </c>
      <c r="F3" s="39" t="s">
        <v>106</v>
      </c>
      <c r="G3" s="37">
        <v>1</v>
      </c>
      <c r="H3" s="37">
        <v>1</v>
      </c>
      <c r="I3" s="38"/>
      <c r="J3" s="40">
        <v>0</v>
      </c>
      <c r="K3" s="40">
        <v>0</v>
      </c>
      <c r="L3" s="40">
        <v>0</v>
      </c>
      <c r="M3" s="40"/>
      <c r="N3" s="41"/>
      <c r="O3" s="41"/>
      <c r="P3" s="42"/>
      <c r="Q3" s="42"/>
      <c r="R3" s="42"/>
      <c r="S3" s="42"/>
      <c r="T3" s="42"/>
      <c r="U3" s="42"/>
      <c r="V3" s="42">
        <f>SUM(J3:U3)</f>
        <v>0</v>
      </c>
      <c r="W3" s="44">
        <f>V3/V2</f>
        <v>0</v>
      </c>
    </row>
    <row r="4" spans="1:23" ht="51">
      <c r="A4" s="22" t="s">
        <v>0</v>
      </c>
      <c r="B4" s="30" t="s">
        <v>83</v>
      </c>
      <c r="C4" s="31" t="s">
        <v>70</v>
      </c>
      <c r="D4" s="32" t="s">
        <v>72</v>
      </c>
      <c r="E4" s="45" t="s">
        <v>26</v>
      </c>
      <c r="F4" s="39">
        <v>2238</v>
      </c>
      <c r="G4" s="37">
        <v>0.2</v>
      </c>
      <c r="H4" s="38">
        <f>F4*0.2</f>
        <v>447.6</v>
      </c>
      <c r="I4" s="38" t="s">
        <v>122</v>
      </c>
      <c r="J4" s="40">
        <v>36</v>
      </c>
      <c r="K4" s="40">
        <v>10</v>
      </c>
      <c r="L4" s="40">
        <v>28</v>
      </c>
      <c r="M4" s="40"/>
      <c r="N4" s="41"/>
      <c r="O4" s="41"/>
      <c r="P4" s="40"/>
      <c r="Q4" s="42"/>
      <c r="R4" s="42"/>
      <c r="S4" s="42"/>
      <c r="T4" s="42"/>
      <c r="U4" s="42"/>
      <c r="V4" s="42">
        <f t="shared" ref="V4:V18" si="0">SUM(J4:U4)</f>
        <v>74</v>
      </c>
      <c r="W4" s="43">
        <f t="shared" ref="W4:W16" si="1">V4/H4</f>
        <v>0.16532618409294011</v>
      </c>
    </row>
    <row r="5" spans="1:23" ht="38.25">
      <c r="A5" s="22" t="s">
        <v>0</v>
      </c>
      <c r="B5" s="30" t="s">
        <v>84</v>
      </c>
      <c r="C5" s="31" t="s">
        <v>51</v>
      </c>
      <c r="D5" s="31" t="s">
        <v>46</v>
      </c>
      <c r="E5" s="46" t="s">
        <v>45</v>
      </c>
      <c r="F5" s="39" t="s">
        <v>106</v>
      </c>
      <c r="G5" s="37">
        <v>1</v>
      </c>
      <c r="H5" s="37">
        <v>1</v>
      </c>
      <c r="I5" s="38"/>
      <c r="J5" s="40">
        <v>0</v>
      </c>
      <c r="K5" s="40">
        <v>1</v>
      </c>
      <c r="L5" s="40">
        <v>1</v>
      </c>
      <c r="M5" s="40"/>
      <c r="N5" s="41"/>
      <c r="O5" s="41"/>
      <c r="P5" s="40"/>
      <c r="Q5" s="42"/>
      <c r="R5" s="42"/>
      <c r="S5" s="42"/>
      <c r="T5" s="42"/>
      <c r="U5" s="42"/>
      <c r="V5" s="42">
        <f t="shared" si="0"/>
        <v>2</v>
      </c>
      <c r="W5" s="43">
        <f>V5/V4</f>
        <v>2.7027027027027029E-2</v>
      </c>
    </row>
    <row r="6" spans="1:23" ht="51">
      <c r="A6" s="22" t="s">
        <v>0</v>
      </c>
      <c r="B6" s="22" t="s">
        <v>85</v>
      </c>
      <c r="C6" s="23" t="s">
        <v>18</v>
      </c>
      <c r="D6" s="23" t="s">
        <v>52</v>
      </c>
      <c r="E6" s="32" t="s">
        <v>47</v>
      </c>
      <c r="F6" s="39" t="s">
        <v>106</v>
      </c>
      <c r="G6" s="37">
        <v>1</v>
      </c>
      <c r="H6" s="37">
        <v>1</v>
      </c>
      <c r="I6" s="38"/>
      <c r="J6" s="40">
        <v>0</v>
      </c>
      <c r="K6" s="40">
        <v>1</v>
      </c>
      <c r="L6" s="40">
        <v>1</v>
      </c>
      <c r="M6" s="40"/>
      <c r="N6" s="41"/>
      <c r="O6" s="41"/>
      <c r="P6" s="40"/>
      <c r="Q6" s="42"/>
      <c r="R6" s="42"/>
      <c r="S6" s="42"/>
      <c r="T6" s="42"/>
      <c r="U6" s="42"/>
      <c r="V6" s="42">
        <f t="shared" si="0"/>
        <v>2</v>
      </c>
      <c r="W6" s="74" t="e">
        <f>V6/V3</f>
        <v>#DIV/0!</v>
      </c>
    </row>
    <row r="7" spans="1:23" ht="56.25" customHeight="1">
      <c r="A7" s="22" t="s">
        <v>12</v>
      </c>
      <c r="B7" s="24" t="s">
        <v>86</v>
      </c>
      <c r="C7" s="23" t="s">
        <v>53</v>
      </c>
      <c r="D7" s="23" t="s">
        <v>73</v>
      </c>
      <c r="E7" s="32" t="s">
        <v>28</v>
      </c>
      <c r="F7" s="39">
        <v>1778</v>
      </c>
      <c r="G7" s="37">
        <v>1</v>
      </c>
      <c r="H7" s="38">
        <f>F7*1</f>
        <v>1778</v>
      </c>
      <c r="I7" s="38"/>
      <c r="J7" s="40">
        <v>46</v>
      </c>
      <c r="K7" s="40">
        <v>32</v>
      </c>
      <c r="L7" s="40">
        <v>46</v>
      </c>
      <c r="M7" s="40"/>
      <c r="N7" s="41"/>
      <c r="O7" s="41"/>
      <c r="P7" s="40"/>
      <c r="Q7" s="42"/>
      <c r="R7" s="42"/>
      <c r="S7" s="42"/>
      <c r="T7" s="42"/>
      <c r="U7" s="42"/>
      <c r="V7" s="42">
        <f t="shared" si="0"/>
        <v>124</v>
      </c>
      <c r="W7" s="43">
        <f t="shared" si="1"/>
        <v>6.9741282339707542E-2</v>
      </c>
    </row>
    <row r="8" spans="1:23" ht="54" customHeight="1">
      <c r="A8" s="22" t="s">
        <v>12</v>
      </c>
      <c r="B8" s="25" t="s">
        <v>87</v>
      </c>
      <c r="C8" s="26" t="s">
        <v>54</v>
      </c>
      <c r="D8" s="26" t="s">
        <v>55</v>
      </c>
      <c r="E8" s="33" t="s">
        <v>29</v>
      </c>
      <c r="F8" s="39">
        <v>1053</v>
      </c>
      <c r="G8" s="37">
        <v>0.5</v>
      </c>
      <c r="H8" s="38">
        <f>F8*0.5</f>
        <v>526.5</v>
      </c>
      <c r="I8" s="38" t="s">
        <v>131</v>
      </c>
      <c r="J8" s="40">
        <v>37</v>
      </c>
      <c r="K8" s="40">
        <v>24</v>
      </c>
      <c r="L8" s="40">
        <v>89</v>
      </c>
      <c r="M8" s="40"/>
      <c r="N8" s="41"/>
      <c r="O8" s="41"/>
      <c r="P8" s="40"/>
      <c r="Q8" s="42"/>
      <c r="R8" s="42"/>
      <c r="S8" s="42"/>
      <c r="T8" s="42"/>
      <c r="U8" s="42"/>
      <c r="V8" s="42">
        <f t="shared" si="0"/>
        <v>150</v>
      </c>
      <c r="W8" s="43">
        <f t="shared" si="1"/>
        <v>0.28490028490028491</v>
      </c>
    </row>
    <row r="9" spans="1:23" ht="54" customHeight="1">
      <c r="A9" s="22" t="s">
        <v>12</v>
      </c>
      <c r="B9" s="25" t="s">
        <v>88</v>
      </c>
      <c r="C9" s="26" t="s">
        <v>57</v>
      </c>
      <c r="D9" s="26" t="s">
        <v>74</v>
      </c>
      <c r="E9" s="33" t="s">
        <v>56</v>
      </c>
      <c r="F9" s="39" t="s">
        <v>106</v>
      </c>
      <c r="G9" s="37">
        <v>1</v>
      </c>
      <c r="H9" s="37">
        <v>1</v>
      </c>
      <c r="I9" s="38"/>
      <c r="J9" s="40">
        <v>1</v>
      </c>
      <c r="K9" s="40">
        <v>0</v>
      </c>
      <c r="L9" s="40">
        <v>0</v>
      </c>
      <c r="M9" s="40"/>
      <c r="N9" s="41"/>
      <c r="O9" s="41"/>
      <c r="P9" s="40"/>
      <c r="Q9" s="42"/>
      <c r="R9" s="42"/>
      <c r="S9" s="42"/>
      <c r="T9" s="42"/>
      <c r="U9" s="42"/>
      <c r="V9" s="42">
        <f t="shared" si="0"/>
        <v>1</v>
      </c>
      <c r="W9" s="43">
        <f>V9/V8</f>
        <v>6.6666666666666671E-3</v>
      </c>
    </row>
    <row r="10" spans="1:23" ht="65.25" customHeight="1">
      <c r="A10" s="27" t="s">
        <v>12</v>
      </c>
      <c r="B10" s="28" t="s">
        <v>89</v>
      </c>
      <c r="C10" s="29" t="s">
        <v>58</v>
      </c>
      <c r="D10" s="29" t="s">
        <v>75</v>
      </c>
      <c r="E10" s="45" t="s">
        <v>30</v>
      </c>
      <c r="F10" s="39" t="s">
        <v>106</v>
      </c>
      <c r="G10" s="37">
        <v>1</v>
      </c>
      <c r="H10" s="37">
        <v>1</v>
      </c>
      <c r="I10" s="38"/>
      <c r="J10" s="40">
        <v>1</v>
      </c>
      <c r="K10" s="40">
        <v>0</v>
      </c>
      <c r="L10" s="40">
        <v>0</v>
      </c>
      <c r="M10" s="40"/>
      <c r="N10" s="41"/>
      <c r="O10" s="41"/>
      <c r="P10" s="40"/>
      <c r="Q10" s="42"/>
      <c r="R10" s="42"/>
      <c r="S10" s="42"/>
      <c r="T10" s="42"/>
      <c r="U10" s="42"/>
      <c r="V10" s="42">
        <f t="shared" si="0"/>
        <v>1</v>
      </c>
      <c r="W10" s="43">
        <f>V10/V8</f>
        <v>6.6666666666666671E-3</v>
      </c>
    </row>
    <row r="11" spans="1:23" ht="55.5" customHeight="1">
      <c r="A11" s="22" t="s">
        <v>13</v>
      </c>
      <c r="B11" s="22" t="s">
        <v>90</v>
      </c>
      <c r="C11" s="23" t="s">
        <v>21</v>
      </c>
      <c r="D11" s="23" t="s">
        <v>76</v>
      </c>
      <c r="E11" s="32" t="s">
        <v>31</v>
      </c>
      <c r="F11" s="39">
        <v>1061</v>
      </c>
      <c r="G11" s="37">
        <v>0.2</v>
      </c>
      <c r="H11" s="38">
        <f>F11*0.2</f>
        <v>212.20000000000002</v>
      </c>
      <c r="I11" s="38" t="s">
        <v>136</v>
      </c>
      <c r="J11" s="40">
        <v>16</v>
      </c>
      <c r="K11" s="40">
        <v>33</v>
      </c>
      <c r="L11" s="40">
        <v>38</v>
      </c>
      <c r="M11" s="40"/>
      <c r="N11" s="41"/>
      <c r="O11" s="41"/>
      <c r="P11" s="40"/>
      <c r="Q11" s="42"/>
      <c r="R11" s="42"/>
      <c r="S11" s="42"/>
      <c r="T11" s="42"/>
      <c r="U11" s="42"/>
      <c r="V11" s="42">
        <f t="shared" si="0"/>
        <v>87</v>
      </c>
      <c r="W11" s="43">
        <f t="shared" si="1"/>
        <v>0.40999057492931196</v>
      </c>
    </row>
    <row r="12" spans="1:23" ht="54.75" customHeight="1">
      <c r="A12" s="4" t="s">
        <v>13</v>
      </c>
      <c r="B12" s="5" t="s">
        <v>91</v>
      </c>
      <c r="C12" s="1" t="s">
        <v>19</v>
      </c>
      <c r="D12" s="1" t="s">
        <v>77</v>
      </c>
      <c r="E12" s="47" t="s">
        <v>31</v>
      </c>
      <c r="F12" s="39">
        <v>1061</v>
      </c>
      <c r="G12" s="37">
        <v>0.2</v>
      </c>
      <c r="H12" s="38">
        <f>F12*0.2</f>
        <v>212.20000000000002</v>
      </c>
      <c r="I12" s="38" t="s">
        <v>145</v>
      </c>
      <c r="J12" s="40">
        <v>56</v>
      </c>
      <c r="K12" s="40">
        <v>89</v>
      </c>
      <c r="L12" s="40">
        <v>101</v>
      </c>
      <c r="M12" s="40"/>
      <c r="N12" s="41"/>
      <c r="O12" s="41"/>
      <c r="P12" s="40"/>
      <c r="Q12" s="42"/>
      <c r="R12" s="42"/>
      <c r="S12" s="42"/>
      <c r="T12" s="42"/>
      <c r="U12" s="42"/>
      <c r="V12" s="42">
        <f t="shared" si="0"/>
        <v>246</v>
      </c>
      <c r="W12" s="43">
        <f t="shared" si="1"/>
        <v>1.1592836946277096</v>
      </c>
    </row>
    <row r="13" spans="1:23" ht="63" customHeight="1">
      <c r="A13" s="8" t="s">
        <v>13</v>
      </c>
      <c r="B13" s="7" t="s">
        <v>92</v>
      </c>
      <c r="C13" s="3" t="s">
        <v>20</v>
      </c>
      <c r="D13" s="3" t="s">
        <v>59</v>
      </c>
      <c r="E13" s="48" t="s">
        <v>31</v>
      </c>
      <c r="F13" s="39">
        <v>1061</v>
      </c>
      <c r="G13" s="37">
        <v>0.2</v>
      </c>
      <c r="H13" s="38">
        <f>F13*0.2</f>
        <v>212.20000000000002</v>
      </c>
      <c r="I13" s="38" t="s">
        <v>150</v>
      </c>
      <c r="J13" s="40">
        <v>72</v>
      </c>
      <c r="K13" s="40">
        <v>122</v>
      </c>
      <c r="L13" s="40">
        <v>139</v>
      </c>
      <c r="M13" s="40"/>
      <c r="N13" s="41"/>
      <c r="O13" s="41"/>
      <c r="P13" s="40"/>
      <c r="Q13" s="42"/>
      <c r="R13" s="42"/>
      <c r="S13" s="42"/>
      <c r="T13" s="42"/>
      <c r="U13" s="42"/>
      <c r="V13" s="42">
        <f t="shared" si="0"/>
        <v>333</v>
      </c>
      <c r="W13" s="43">
        <f t="shared" si="1"/>
        <v>1.5692742695570217</v>
      </c>
    </row>
    <row r="14" spans="1:23" ht="63" customHeight="1">
      <c r="A14" s="9" t="s">
        <v>13</v>
      </c>
      <c r="B14" s="6" t="s">
        <v>107</v>
      </c>
      <c r="C14" s="2" t="s">
        <v>93</v>
      </c>
      <c r="D14" s="2" t="s">
        <v>61</v>
      </c>
      <c r="E14" s="49" t="s">
        <v>60</v>
      </c>
      <c r="F14" s="39" t="s">
        <v>106</v>
      </c>
      <c r="G14" s="37">
        <v>1</v>
      </c>
      <c r="H14" s="37">
        <v>1</v>
      </c>
      <c r="I14" s="38"/>
      <c r="J14" s="40">
        <v>0</v>
      </c>
      <c r="K14" s="40">
        <v>0</v>
      </c>
      <c r="L14" s="40">
        <v>0</v>
      </c>
      <c r="M14" s="40"/>
      <c r="N14" s="41"/>
      <c r="O14" s="41"/>
      <c r="P14" s="40"/>
      <c r="Q14" s="42"/>
      <c r="R14" s="42"/>
      <c r="S14" s="42"/>
      <c r="T14" s="42"/>
      <c r="U14" s="42"/>
      <c r="V14" s="42">
        <f t="shared" si="0"/>
        <v>0</v>
      </c>
      <c r="W14" s="43">
        <f>V14/V13</f>
        <v>0</v>
      </c>
    </row>
    <row r="15" spans="1:23" ht="70.5" customHeight="1">
      <c r="A15" s="19" t="s">
        <v>13</v>
      </c>
      <c r="B15" s="20" t="s">
        <v>95</v>
      </c>
      <c r="C15" s="21" t="s">
        <v>34</v>
      </c>
      <c r="D15" s="21" t="s">
        <v>32</v>
      </c>
      <c r="E15" s="50" t="s">
        <v>33</v>
      </c>
      <c r="F15" s="39" t="s">
        <v>106</v>
      </c>
      <c r="G15" s="37">
        <v>1</v>
      </c>
      <c r="H15" s="37">
        <v>1</v>
      </c>
      <c r="I15" s="38"/>
      <c r="J15" s="40">
        <v>0</v>
      </c>
      <c r="K15" s="40">
        <v>0</v>
      </c>
      <c r="L15" s="40">
        <v>0</v>
      </c>
      <c r="M15" s="40"/>
      <c r="N15" s="41"/>
      <c r="O15" s="41"/>
      <c r="P15" s="40"/>
      <c r="Q15" s="42"/>
      <c r="R15" s="42"/>
      <c r="S15" s="42"/>
      <c r="T15" s="42"/>
      <c r="U15" s="42"/>
      <c r="V15" s="42">
        <f t="shared" si="0"/>
        <v>0</v>
      </c>
      <c r="W15" s="43" t="e">
        <f>V15/V14</f>
        <v>#DIV/0!</v>
      </c>
    </row>
    <row r="16" spans="1:23" ht="63.75">
      <c r="A16" s="9" t="s">
        <v>14</v>
      </c>
      <c r="B16" s="6" t="s">
        <v>96</v>
      </c>
      <c r="C16" s="2" t="s">
        <v>64</v>
      </c>
      <c r="D16" s="2" t="s">
        <v>63</v>
      </c>
      <c r="E16" s="49" t="s">
        <v>62</v>
      </c>
      <c r="F16" s="39">
        <v>2291</v>
      </c>
      <c r="G16" s="37">
        <v>0.5</v>
      </c>
      <c r="H16" s="38">
        <f>F16*0.5</f>
        <v>1145.5</v>
      </c>
      <c r="I16" s="38" t="s">
        <v>113</v>
      </c>
      <c r="J16" s="40">
        <v>44</v>
      </c>
      <c r="K16" s="40">
        <v>145</v>
      </c>
      <c r="L16" s="40">
        <v>135</v>
      </c>
      <c r="M16" s="40"/>
      <c r="N16" s="41"/>
      <c r="O16" s="41"/>
      <c r="P16" s="40"/>
      <c r="Q16" s="42"/>
      <c r="R16" s="42"/>
      <c r="S16" s="42"/>
      <c r="T16" s="42"/>
      <c r="U16" s="42"/>
      <c r="V16" s="42">
        <f t="shared" si="0"/>
        <v>324</v>
      </c>
      <c r="W16" s="43">
        <f t="shared" si="1"/>
        <v>0.28284591881274551</v>
      </c>
    </row>
    <row r="17" spans="1:23" ht="58.5" customHeight="1">
      <c r="A17" s="9" t="s">
        <v>14</v>
      </c>
      <c r="B17" s="6" t="s">
        <v>97</v>
      </c>
      <c r="C17" s="2" t="s">
        <v>67</v>
      </c>
      <c r="D17" s="2" t="s">
        <v>66</v>
      </c>
      <c r="E17" s="49" t="s">
        <v>65</v>
      </c>
      <c r="F17" s="39" t="s">
        <v>106</v>
      </c>
      <c r="G17" s="37">
        <v>1</v>
      </c>
      <c r="H17" s="37">
        <v>1</v>
      </c>
      <c r="I17" s="38"/>
      <c r="J17" s="40">
        <v>0</v>
      </c>
      <c r="K17" s="40">
        <v>0</v>
      </c>
      <c r="L17" s="40">
        <v>0</v>
      </c>
      <c r="M17" s="40"/>
      <c r="N17" s="41"/>
      <c r="O17" s="41"/>
      <c r="P17" s="40"/>
      <c r="Q17" s="42"/>
      <c r="R17" s="42"/>
      <c r="S17" s="42"/>
      <c r="T17" s="42"/>
      <c r="U17" s="42"/>
      <c r="V17" s="42">
        <f t="shared" si="0"/>
        <v>0</v>
      </c>
      <c r="W17" s="43">
        <f>V17/V16</f>
        <v>0</v>
      </c>
    </row>
    <row r="18" spans="1:23" ht="76.5">
      <c r="A18" s="9" t="s">
        <v>14</v>
      </c>
      <c r="B18" s="6" t="s">
        <v>99</v>
      </c>
      <c r="C18" s="2" t="s">
        <v>36</v>
      </c>
      <c r="D18" s="2" t="s">
        <v>68</v>
      </c>
      <c r="E18" s="49" t="s">
        <v>35</v>
      </c>
      <c r="F18" s="39" t="s">
        <v>106</v>
      </c>
      <c r="G18" s="37">
        <v>1</v>
      </c>
      <c r="H18" s="37">
        <v>1</v>
      </c>
      <c r="I18" s="38"/>
      <c r="J18" s="40">
        <v>0</v>
      </c>
      <c r="K18" s="40">
        <v>0</v>
      </c>
      <c r="L18" s="40">
        <v>0</v>
      </c>
      <c r="M18" s="40"/>
      <c r="N18" s="41"/>
      <c r="O18" s="41"/>
      <c r="P18" s="40"/>
      <c r="Q18" s="42"/>
      <c r="R18" s="42"/>
      <c r="S18" s="42"/>
      <c r="T18" s="42"/>
      <c r="U18" s="42"/>
      <c r="V18" s="42">
        <f t="shared" si="0"/>
        <v>0</v>
      </c>
      <c r="W18" s="43" t="e">
        <f>V18/V17</f>
        <v>#DIV/0!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C446-D82A-4903-AF06-BBF31E776305}">
  <sheetPr>
    <tabColor theme="5" tint="0.39997558519241921"/>
  </sheetPr>
  <dimension ref="A1:W18"/>
  <sheetViews>
    <sheetView topLeftCell="F1" zoomScaleNormal="100" workbookViewId="0">
      <pane ySplit="1" topLeftCell="A2" activePane="bottomLeft" state="frozen"/>
      <selection pane="bottomLeft" activeCell="H4" sqref="H4"/>
    </sheetView>
  </sheetViews>
  <sheetFormatPr baseColWidth="10" defaultColWidth="9.140625" defaultRowHeight="12.75"/>
  <cols>
    <col min="1" max="1" width="11.5703125" style="12" customWidth="1"/>
    <col min="2" max="2" width="15.85546875" style="12" customWidth="1"/>
    <col min="3" max="3" width="37.5703125" style="12" customWidth="1"/>
    <col min="4" max="4" width="34.5703125" style="12" customWidth="1"/>
    <col min="5" max="5" width="33.42578125" style="12" customWidth="1"/>
    <col min="6" max="6" width="18" style="12" customWidth="1"/>
    <col min="7" max="8" width="14.140625" style="11" customWidth="1"/>
    <col min="9" max="9" width="14.85546875" style="12" customWidth="1"/>
    <col min="10" max="12" width="9.42578125" style="12" customWidth="1"/>
    <col min="13" max="14" width="9.42578125" style="12" hidden="1" customWidth="1"/>
    <col min="15" max="15" width="9.7109375" style="12" hidden="1" customWidth="1"/>
    <col min="16" max="16" width="9.140625" style="12" hidden="1" customWidth="1"/>
    <col min="17" max="17" width="12.42578125" style="12" hidden="1" customWidth="1"/>
    <col min="18" max="18" width="11.42578125" style="12" hidden="1" customWidth="1"/>
    <col min="19" max="19" width="0" style="12" hidden="1" customWidth="1"/>
    <col min="20" max="20" width="10.85546875" style="12" hidden="1" customWidth="1"/>
    <col min="21" max="21" width="11.7109375" style="12" hidden="1" customWidth="1"/>
    <col min="22" max="22" width="12.7109375" style="12" customWidth="1"/>
    <col min="23" max="16384" width="9.140625" style="12"/>
  </cols>
  <sheetData>
    <row r="1" spans="1:23" s="18" customFormat="1" ht="24">
      <c r="A1" s="14" t="s">
        <v>23</v>
      </c>
      <c r="B1" s="14" t="s">
        <v>80</v>
      </c>
      <c r="C1" s="15" t="s">
        <v>24</v>
      </c>
      <c r="D1" s="15" t="s">
        <v>22</v>
      </c>
      <c r="E1" s="15" t="s">
        <v>25</v>
      </c>
      <c r="F1" s="51" t="s">
        <v>38</v>
      </c>
      <c r="G1" s="16" t="s">
        <v>100</v>
      </c>
      <c r="H1" s="16" t="s">
        <v>102</v>
      </c>
      <c r="I1" s="16" t="s">
        <v>155</v>
      </c>
      <c r="J1" s="17" t="s">
        <v>37</v>
      </c>
      <c r="K1" s="17" t="s">
        <v>1</v>
      </c>
      <c r="L1" s="17" t="s">
        <v>2</v>
      </c>
      <c r="M1" s="17" t="s">
        <v>3</v>
      </c>
      <c r="N1" s="17" t="s">
        <v>4</v>
      </c>
      <c r="O1" s="17" t="s">
        <v>5</v>
      </c>
      <c r="P1" s="17" t="s">
        <v>6</v>
      </c>
      <c r="Q1" s="17" t="s">
        <v>7</v>
      </c>
      <c r="R1" s="17" t="s">
        <v>8</v>
      </c>
      <c r="S1" s="17" t="s">
        <v>9</v>
      </c>
      <c r="T1" s="17" t="s">
        <v>10</v>
      </c>
      <c r="U1" s="17" t="s">
        <v>11</v>
      </c>
      <c r="V1" s="16" t="s">
        <v>104</v>
      </c>
      <c r="W1" s="16" t="s">
        <v>105</v>
      </c>
    </row>
    <row r="2" spans="1:23" ht="38.25">
      <c r="A2" s="22" t="s">
        <v>0</v>
      </c>
      <c r="B2" s="30" t="s">
        <v>81</v>
      </c>
      <c r="C2" s="31" t="s">
        <v>69</v>
      </c>
      <c r="D2" s="23" t="s">
        <v>71</v>
      </c>
      <c r="E2" s="32" t="s">
        <v>27</v>
      </c>
      <c r="F2" s="39">
        <v>41</v>
      </c>
      <c r="G2" s="37">
        <v>0.33</v>
      </c>
      <c r="H2" s="38">
        <f>F2*0.33</f>
        <v>13.530000000000001</v>
      </c>
      <c r="I2" s="38" t="s">
        <v>115</v>
      </c>
      <c r="J2" s="40">
        <v>2</v>
      </c>
      <c r="K2" s="40">
        <v>6</v>
      </c>
      <c r="L2" s="40">
        <v>8</v>
      </c>
      <c r="M2" s="40"/>
      <c r="N2" s="41"/>
      <c r="O2" s="41"/>
      <c r="P2" s="42"/>
      <c r="Q2" s="42"/>
      <c r="R2" s="42"/>
      <c r="S2" s="42"/>
      <c r="T2" s="42"/>
      <c r="U2" s="42"/>
      <c r="V2" s="42">
        <f>SUM(J2:U2)</f>
        <v>16</v>
      </c>
      <c r="W2" s="43">
        <f>V2/H2</f>
        <v>1.1825572801182556</v>
      </c>
    </row>
    <row r="3" spans="1:23" ht="51">
      <c r="A3" s="22" t="s">
        <v>0</v>
      </c>
      <c r="B3" s="30" t="s">
        <v>82</v>
      </c>
      <c r="C3" s="31" t="s">
        <v>50</v>
      </c>
      <c r="D3" s="23" t="s">
        <v>49</v>
      </c>
      <c r="E3" s="33" t="s">
        <v>48</v>
      </c>
      <c r="F3" s="39" t="s">
        <v>106</v>
      </c>
      <c r="G3" s="37">
        <v>1</v>
      </c>
      <c r="H3" s="37">
        <v>1</v>
      </c>
      <c r="I3" s="38"/>
      <c r="J3" s="40">
        <v>0</v>
      </c>
      <c r="K3" s="40">
        <v>0</v>
      </c>
      <c r="L3" s="40">
        <v>0</v>
      </c>
      <c r="M3" s="40"/>
      <c r="N3" s="41"/>
      <c r="O3" s="41"/>
      <c r="P3" s="42"/>
      <c r="Q3" s="42"/>
      <c r="R3" s="42"/>
      <c r="S3" s="42"/>
      <c r="T3" s="42"/>
      <c r="U3" s="42"/>
      <c r="V3" s="42">
        <f>SUM(J3:U3)</f>
        <v>0</v>
      </c>
      <c r="W3" s="44">
        <f>V3/V2</f>
        <v>0</v>
      </c>
    </row>
    <row r="4" spans="1:23" ht="51">
      <c r="A4" s="22" t="s">
        <v>0</v>
      </c>
      <c r="B4" s="30" t="s">
        <v>83</v>
      </c>
      <c r="C4" s="31" t="s">
        <v>70</v>
      </c>
      <c r="D4" s="32" t="s">
        <v>72</v>
      </c>
      <c r="E4" s="45" t="s">
        <v>26</v>
      </c>
      <c r="F4" s="39">
        <v>294</v>
      </c>
      <c r="G4" s="37">
        <v>0.2</v>
      </c>
      <c r="H4" s="38">
        <f>F4*0.2</f>
        <v>58.800000000000004</v>
      </c>
      <c r="I4" s="37">
        <v>0</v>
      </c>
      <c r="J4" s="40">
        <v>0</v>
      </c>
      <c r="K4" s="40">
        <v>2</v>
      </c>
      <c r="L4" s="40">
        <v>3</v>
      </c>
      <c r="M4" s="40"/>
      <c r="N4" s="41"/>
      <c r="O4" s="41"/>
      <c r="P4" s="40"/>
      <c r="Q4" s="42"/>
      <c r="R4" s="42"/>
      <c r="S4" s="42"/>
      <c r="T4" s="42"/>
      <c r="U4" s="42"/>
      <c r="V4" s="42">
        <f t="shared" ref="V4:V18" si="0">SUM(J4:U4)</f>
        <v>5</v>
      </c>
      <c r="W4" s="43">
        <f t="shared" ref="W4:W16" si="1">V4/H4</f>
        <v>8.5034013605442174E-2</v>
      </c>
    </row>
    <row r="5" spans="1:23" ht="38.25">
      <c r="A5" s="22" t="s">
        <v>0</v>
      </c>
      <c r="B5" s="30" t="s">
        <v>84</v>
      </c>
      <c r="C5" s="31" t="s">
        <v>51</v>
      </c>
      <c r="D5" s="31" t="s">
        <v>46</v>
      </c>
      <c r="E5" s="46" t="s">
        <v>45</v>
      </c>
      <c r="F5" s="39" t="s">
        <v>106</v>
      </c>
      <c r="G5" s="37">
        <v>1</v>
      </c>
      <c r="H5" s="37">
        <v>1</v>
      </c>
      <c r="I5" s="38"/>
      <c r="J5" s="40">
        <v>0</v>
      </c>
      <c r="K5" s="40">
        <v>0</v>
      </c>
      <c r="L5" s="40">
        <v>0</v>
      </c>
      <c r="M5" s="40"/>
      <c r="N5" s="41"/>
      <c r="O5" s="41"/>
      <c r="P5" s="40"/>
      <c r="Q5" s="42"/>
      <c r="R5" s="42"/>
      <c r="S5" s="42"/>
      <c r="T5" s="42"/>
      <c r="U5" s="42"/>
      <c r="V5" s="42">
        <f t="shared" si="0"/>
        <v>0</v>
      </c>
      <c r="W5" s="43">
        <f>V5/V4</f>
        <v>0</v>
      </c>
    </row>
    <row r="6" spans="1:23" ht="51">
      <c r="A6" s="22" t="s">
        <v>0</v>
      </c>
      <c r="B6" s="22" t="s">
        <v>85</v>
      </c>
      <c r="C6" s="23" t="s">
        <v>18</v>
      </c>
      <c r="D6" s="23" t="s">
        <v>52</v>
      </c>
      <c r="E6" s="32" t="s">
        <v>47</v>
      </c>
      <c r="F6" s="39" t="s">
        <v>106</v>
      </c>
      <c r="G6" s="37">
        <v>1</v>
      </c>
      <c r="H6" s="37">
        <v>1</v>
      </c>
      <c r="I6" s="38"/>
      <c r="J6" s="40">
        <v>1</v>
      </c>
      <c r="K6" s="40">
        <v>1</v>
      </c>
      <c r="L6" s="40">
        <v>1</v>
      </c>
      <c r="M6" s="40"/>
      <c r="N6" s="41"/>
      <c r="O6" s="41"/>
      <c r="P6" s="40"/>
      <c r="Q6" s="42"/>
      <c r="R6" s="42"/>
      <c r="S6" s="42"/>
      <c r="T6" s="42"/>
      <c r="U6" s="42"/>
      <c r="V6" s="42">
        <f t="shared" si="0"/>
        <v>3</v>
      </c>
      <c r="W6" s="74" t="e">
        <f>V6/V3</f>
        <v>#DIV/0!</v>
      </c>
    </row>
    <row r="7" spans="1:23" ht="56.25" customHeight="1">
      <c r="A7" s="22" t="s">
        <v>12</v>
      </c>
      <c r="B7" s="24" t="s">
        <v>86</v>
      </c>
      <c r="C7" s="23" t="s">
        <v>53</v>
      </c>
      <c r="D7" s="23" t="s">
        <v>73</v>
      </c>
      <c r="E7" s="32" t="s">
        <v>28</v>
      </c>
      <c r="F7" s="39">
        <v>206</v>
      </c>
      <c r="G7" s="37">
        <v>1</v>
      </c>
      <c r="H7" s="38">
        <f>F7*1</f>
        <v>206</v>
      </c>
      <c r="I7" s="38"/>
      <c r="J7" s="40">
        <v>1</v>
      </c>
      <c r="K7" s="40">
        <v>5</v>
      </c>
      <c r="L7" s="40">
        <v>4</v>
      </c>
      <c r="M7" s="40"/>
      <c r="N7" s="41"/>
      <c r="O7" s="41"/>
      <c r="P7" s="40"/>
      <c r="Q7" s="42"/>
      <c r="R7" s="42"/>
      <c r="S7" s="42"/>
      <c r="T7" s="42"/>
      <c r="U7" s="42"/>
      <c r="V7" s="42">
        <f t="shared" si="0"/>
        <v>10</v>
      </c>
      <c r="W7" s="43">
        <f t="shared" si="1"/>
        <v>4.8543689320388349E-2</v>
      </c>
    </row>
    <row r="8" spans="1:23" ht="54" customHeight="1">
      <c r="A8" s="22" t="s">
        <v>12</v>
      </c>
      <c r="B8" s="25" t="s">
        <v>87</v>
      </c>
      <c r="C8" s="26" t="s">
        <v>54</v>
      </c>
      <c r="D8" s="26" t="s">
        <v>55</v>
      </c>
      <c r="E8" s="33" t="s">
        <v>29</v>
      </c>
      <c r="F8" s="39">
        <v>96</v>
      </c>
      <c r="G8" s="37">
        <v>0.5</v>
      </c>
      <c r="H8" s="38">
        <f>F8*0.5</f>
        <v>48</v>
      </c>
      <c r="I8" s="38" t="s">
        <v>132</v>
      </c>
      <c r="J8" s="40">
        <v>7</v>
      </c>
      <c r="K8" s="40">
        <v>6</v>
      </c>
      <c r="L8" s="40">
        <v>5</v>
      </c>
      <c r="M8" s="40"/>
      <c r="N8" s="41"/>
      <c r="O8" s="41"/>
      <c r="P8" s="40"/>
      <c r="Q8" s="42"/>
      <c r="R8" s="42"/>
      <c r="S8" s="42"/>
      <c r="T8" s="42"/>
      <c r="U8" s="42"/>
      <c r="V8" s="42">
        <f t="shared" si="0"/>
        <v>18</v>
      </c>
      <c r="W8" s="43">
        <f t="shared" si="1"/>
        <v>0.375</v>
      </c>
    </row>
    <row r="9" spans="1:23" ht="54" customHeight="1">
      <c r="A9" s="22" t="s">
        <v>12</v>
      </c>
      <c r="B9" s="25" t="s">
        <v>88</v>
      </c>
      <c r="C9" s="26" t="s">
        <v>57</v>
      </c>
      <c r="D9" s="26" t="s">
        <v>74</v>
      </c>
      <c r="E9" s="33" t="s">
        <v>56</v>
      </c>
      <c r="F9" s="39" t="s">
        <v>106</v>
      </c>
      <c r="G9" s="37">
        <v>1</v>
      </c>
      <c r="H9" s="37">
        <v>1</v>
      </c>
      <c r="I9" s="38"/>
      <c r="J9" s="40">
        <v>0</v>
      </c>
      <c r="K9" s="40">
        <v>1</v>
      </c>
      <c r="L9" s="40">
        <v>0</v>
      </c>
      <c r="M9" s="40"/>
      <c r="N9" s="41"/>
      <c r="O9" s="41"/>
      <c r="P9" s="40"/>
      <c r="Q9" s="42"/>
      <c r="R9" s="42"/>
      <c r="S9" s="42"/>
      <c r="T9" s="42"/>
      <c r="U9" s="42"/>
      <c r="V9" s="42">
        <f t="shared" si="0"/>
        <v>1</v>
      </c>
      <c r="W9" s="43">
        <f>V9/V8</f>
        <v>5.5555555555555552E-2</v>
      </c>
    </row>
    <row r="10" spans="1:23" ht="65.25" customHeight="1">
      <c r="A10" s="27" t="s">
        <v>12</v>
      </c>
      <c r="B10" s="28" t="s">
        <v>89</v>
      </c>
      <c r="C10" s="29" t="s">
        <v>58</v>
      </c>
      <c r="D10" s="29" t="s">
        <v>75</v>
      </c>
      <c r="E10" s="45" t="s">
        <v>30</v>
      </c>
      <c r="F10" s="39" t="s">
        <v>106</v>
      </c>
      <c r="G10" s="37">
        <v>1</v>
      </c>
      <c r="H10" s="37">
        <v>1</v>
      </c>
      <c r="I10" s="38"/>
      <c r="J10" s="40">
        <v>0</v>
      </c>
      <c r="K10" s="40">
        <v>0</v>
      </c>
      <c r="L10" s="40">
        <v>1</v>
      </c>
      <c r="M10" s="40"/>
      <c r="N10" s="41"/>
      <c r="O10" s="41"/>
      <c r="P10" s="40"/>
      <c r="Q10" s="42"/>
      <c r="R10" s="42"/>
      <c r="S10" s="42"/>
      <c r="T10" s="42"/>
      <c r="U10" s="42"/>
      <c r="V10" s="42">
        <f t="shared" si="0"/>
        <v>1</v>
      </c>
      <c r="W10" s="43">
        <f>V10/V8</f>
        <v>5.5555555555555552E-2</v>
      </c>
    </row>
    <row r="11" spans="1:23" ht="55.5" customHeight="1">
      <c r="A11" s="22" t="s">
        <v>13</v>
      </c>
      <c r="B11" s="22" t="s">
        <v>90</v>
      </c>
      <c r="C11" s="23" t="s">
        <v>21</v>
      </c>
      <c r="D11" s="23" t="s">
        <v>76</v>
      </c>
      <c r="E11" s="32" t="s">
        <v>31</v>
      </c>
      <c r="F11" s="39">
        <v>87</v>
      </c>
      <c r="G11" s="37">
        <v>0.2</v>
      </c>
      <c r="H11" s="38">
        <f>F11*0.2</f>
        <v>17.400000000000002</v>
      </c>
      <c r="I11" s="38" t="s">
        <v>135</v>
      </c>
      <c r="J11" s="40">
        <v>0</v>
      </c>
      <c r="K11" s="40">
        <v>3</v>
      </c>
      <c r="L11" s="40">
        <v>4</v>
      </c>
      <c r="M11" s="40"/>
      <c r="N11" s="41"/>
      <c r="O11" s="41"/>
      <c r="P11" s="40"/>
      <c r="Q11" s="42"/>
      <c r="R11" s="42"/>
      <c r="S11" s="42"/>
      <c r="T11" s="42"/>
      <c r="U11" s="42"/>
      <c r="V11" s="42">
        <f t="shared" si="0"/>
        <v>7</v>
      </c>
      <c r="W11" s="43">
        <f t="shared" si="1"/>
        <v>0.4022988505747126</v>
      </c>
    </row>
    <row r="12" spans="1:23" ht="54.75" customHeight="1">
      <c r="A12" s="4" t="s">
        <v>13</v>
      </c>
      <c r="B12" s="5" t="s">
        <v>91</v>
      </c>
      <c r="C12" s="1" t="s">
        <v>19</v>
      </c>
      <c r="D12" s="1" t="s">
        <v>77</v>
      </c>
      <c r="E12" s="47" t="s">
        <v>31</v>
      </c>
      <c r="F12" s="39">
        <v>87</v>
      </c>
      <c r="G12" s="37">
        <v>0.2</v>
      </c>
      <c r="H12" s="38">
        <f>F12*0.2</f>
        <v>17.400000000000002</v>
      </c>
      <c r="I12" s="38" t="s">
        <v>146</v>
      </c>
      <c r="J12" s="40">
        <v>8</v>
      </c>
      <c r="K12" s="40">
        <v>2</v>
      </c>
      <c r="L12" s="40">
        <v>3</v>
      </c>
      <c r="M12" s="40"/>
      <c r="N12" s="41"/>
      <c r="O12" s="41"/>
      <c r="P12" s="40"/>
      <c r="Q12" s="42"/>
      <c r="R12" s="42"/>
      <c r="S12" s="42"/>
      <c r="T12" s="42"/>
      <c r="U12" s="42"/>
      <c r="V12" s="42">
        <f t="shared" si="0"/>
        <v>13</v>
      </c>
      <c r="W12" s="43">
        <f t="shared" si="1"/>
        <v>0.74712643678160906</v>
      </c>
    </row>
    <row r="13" spans="1:23" ht="63" customHeight="1">
      <c r="A13" s="8" t="s">
        <v>13</v>
      </c>
      <c r="B13" s="7" t="s">
        <v>92</v>
      </c>
      <c r="C13" s="3" t="s">
        <v>20</v>
      </c>
      <c r="D13" s="3" t="s">
        <v>59</v>
      </c>
      <c r="E13" s="48" t="s">
        <v>31</v>
      </c>
      <c r="F13" s="39">
        <v>87</v>
      </c>
      <c r="G13" s="37">
        <v>0.2</v>
      </c>
      <c r="H13" s="38">
        <f>F13*0.2</f>
        <v>17.400000000000002</v>
      </c>
      <c r="I13" s="38" t="s">
        <v>149</v>
      </c>
      <c r="J13" s="40">
        <v>0</v>
      </c>
      <c r="K13" s="40">
        <v>1</v>
      </c>
      <c r="L13" s="40">
        <v>1</v>
      </c>
      <c r="M13" s="40"/>
      <c r="N13" s="41"/>
      <c r="O13" s="41"/>
      <c r="P13" s="40"/>
      <c r="Q13" s="42"/>
      <c r="R13" s="42"/>
      <c r="S13" s="42"/>
      <c r="T13" s="42"/>
      <c r="U13" s="42"/>
      <c r="V13" s="42">
        <f t="shared" si="0"/>
        <v>2</v>
      </c>
      <c r="W13" s="43">
        <f t="shared" si="1"/>
        <v>0.11494252873563217</v>
      </c>
    </row>
    <row r="14" spans="1:23" ht="63" customHeight="1">
      <c r="A14" s="9" t="s">
        <v>13</v>
      </c>
      <c r="B14" s="6" t="s">
        <v>107</v>
      </c>
      <c r="C14" s="2" t="s">
        <v>93</v>
      </c>
      <c r="D14" s="2" t="s">
        <v>61</v>
      </c>
      <c r="E14" s="49" t="s">
        <v>60</v>
      </c>
      <c r="F14" s="39" t="s">
        <v>106</v>
      </c>
      <c r="G14" s="37">
        <v>1</v>
      </c>
      <c r="H14" s="37">
        <v>1</v>
      </c>
      <c r="I14" s="38"/>
      <c r="J14" s="40">
        <v>0</v>
      </c>
      <c r="K14" s="40">
        <v>0</v>
      </c>
      <c r="L14" s="40">
        <v>0</v>
      </c>
      <c r="M14" s="40"/>
      <c r="N14" s="41"/>
      <c r="O14" s="41"/>
      <c r="P14" s="40"/>
      <c r="Q14" s="42"/>
      <c r="R14" s="42"/>
      <c r="S14" s="42"/>
      <c r="T14" s="42"/>
      <c r="U14" s="42"/>
      <c r="V14" s="42">
        <f t="shared" si="0"/>
        <v>0</v>
      </c>
      <c r="W14" s="43">
        <f>V14/V13</f>
        <v>0</v>
      </c>
    </row>
    <row r="15" spans="1:23" ht="70.5" customHeight="1">
      <c r="A15" s="19" t="s">
        <v>13</v>
      </c>
      <c r="B15" s="20" t="s">
        <v>95</v>
      </c>
      <c r="C15" s="21" t="s">
        <v>34</v>
      </c>
      <c r="D15" s="21" t="s">
        <v>32</v>
      </c>
      <c r="E15" s="50" t="s">
        <v>33</v>
      </c>
      <c r="F15" s="39" t="s">
        <v>106</v>
      </c>
      <c r="G15" s="37">
        <v>1</v>
      </c>
      <c r="H15" s="37">
        <v>1</v>
      </c>
      <c r="I15" s="38"/>
      <c r="J15" s="40">
        <v>0</v>
      </c>
      <c r="K15" s="40">
        <v>0</v>
      </c>
      <c r="L15" s="40">
        <v>0</v>
      </c>
      <c r="M15" s="40"/>
      <c r="N15" s="41"/>
      <c r="O15" s="41"/>
      <c r="P15" s="40"/>
      <c r="Q15" s="42"/>
      <c r="R15" s="42"/>
      <c r="S15" s="42"/>
      <c r="T15" s="42"/>
      <c r="U15" s="42"/>
      <c r="V15" s="42">
        <f t="shared" si="0"/>
        <v>0</v>
      </c>
      <c r="W15" s="43" t="e">
        <f>V15/V14</f>
        <v>#DIV/0!</v>
      </c>
    </row>
    <row r="16" spans="1:23" ht="63.75">
      <c r="A16" s="9" t="s">
        <v>14</v>
      </c>
      <c r="B16" s="6" t="s">
        <v>96</v>
      </c>
      <c r="C16" s="2" t="s">
        <v>64</v>
      </c>
      <c r="D16" s="2" t="s">
        <v>63</v>
      </c>
      <c r="E16" s="49" t="s">
        <v>62</v>
      </c>
      <c r="F16" s="39">
        <v>197</v>
      </c>
      <c r="G16" s="37">
        <v>0.5</v>
      </c>
      <c r="H16" s="38">
        <f>F16*0.5</f>
        <v>98.5</v>
      </c>
      <c r="I16" s="37">
        <v>0.5</v>
      </c>
      <c r="J16" s="40">
        <v>4</v>
      </c>
      <c r="K16" s="40">
        <v>3</v>
      </c>
      <c r="L16" s="40">
        <v>3</v>
      </c>
      <c r="M16" s="40"/>
      <c r="N16" s="41"/>
      <c r="O16" s="41"/>
      <c r="P16" s="40"/>
      <c r="Q16" s="42"/>
      <c r="R16" s="42"/>
      <c r="S16" s="42"/>
      <c r="T16" s="42"/>
      <c r="U16" s="42"/>
      <c r="V16" s="42">
        <f t="shared" si="0"/>
        <v>10</v>
      </c>
      <c r="W16" s="43">
        <f t="shared" si="1"/>
        <v>0.10152284263959391</v>
      </c>
    </row>
    <row r="17" spans="1:23" ht="58.5" customHeight="1">
      <c r="A17" s="9" t="s">
        <v>14</v>
      </c>
      <c r="B17" s="6" t="s">
        <v>97</v>
      </c>
      <c r="C17" s="2" t="s">
        <v>67</v>
      </c>
      <c r="D17" s="2" t="s">
        <v>66</v>
      </c>
      <c r="E17" s="49" t="s">
        <v>65</v>
      </c>
      <c r="F17" s="39" t="s">
        <v>106</v>
      </c>
      <c r="G17" s="37">
        <v>1</v>
      </c>
      <c r="H17" s="37">
        <v>1</v>
      </c>
      <c r="I17" s="38"/>
      <c r="J17" s="40">
        <v>0</v>
      </c>
      <c r="K17" s="40">
        <v>0</v>
      </c>
      <c r="L17" s="40">
        <v>0</v>
      </c>
      <c r="M17" s="40"/>
      <c r="N17" s="41"/>
      <c r="O17" s="41"/>
      <c r="P17" s="40"/>
      <c r="Q17" s="42"/>
      <c r="R17" s="42"/>
      <c r="S17" s="42"/>
      <c r="T17" s="42"/>
      <c r="U17" s="42"/>
      <c r="V17" s="42">
        <f t="shared" si="0"/>
        <v>0</v>
      </c>
      <c r="W17" s="43">
        <f>V17/V16</f>
        <v>0</v>
      </c>
    </row>
    <row r="18" spans="1:23" ht="76.5">
      <c r="A18" s="9" t="s">
        <v>14</v>
      </c>
      <c r="B18" s="6" t="s">
        <v>99</v>
      </c>
      <c r="C18" s="2" t="s">
        <v>36</v>
      </c>
      <c r="D18" s="2" t="s">
        <v>68</v>
      </c>
      <c r="E18" s="49" t="s">
        <v>35</v>
      </c>
      <c r="F18" s="39" t="s">
        <v>106</v>
      </c>
      <c r="G18" s="37">
        <v>1</v>
      </c>
      <c r="H18" s="37">
        <v>1</v>
      </c>
      <c r="I18" s="38"/>
      <c r="J18" s="40">
        <v>0</v>
      </c>
      <c r="K18" s="40">
        <v>0</v>
      </c>
      <c r="L18" s="40">
        <v>0</v>
      </c>
      <c r="M18" s="40"/>
      <c r="N18" s="41"/>
      <c r="O18" s="41"/>
      <c r="P18" s="40"/>
      <c r="Q18" s="42"/>
      <c r="R18" s="42"/>
      <c r="S18" s="42"/>
      <c r="T18" s="42"/>
      <c r="U18" s="42"/>
      <c r="V18" s="42">
        <f t="shared" si="0"/>
        <v>0</v>
      </c>
      <c r="W18" s="43" t="e">
        <f>V18/V17</f>
        <v>#DIV/0!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B547-C5AD-410F-BF62-5BD4028D488D}">
  <sheetPr>
    <tabColor rgb="FFC00000"/>
  </sheetPr>
  <dimension ref="A1:P18"/>
  <sheetViews>
    <sheetView tabSelected="1" topLeftCell="D1" workbookViewId="0">
      <pane ySplit="1" topLeftCell="A2" activePane="bottomLeft" state="frozen"/>
      <selection activeCell="E1" sqref="E1"/>
      <selection pane="bottomLeft" activeCell="H4" sqref="H4"/>
    </sheetView>
  </sheetViews>
  <sheetFormatPr baseColWidth="10" defaultColWidth="9.140625" defaultRowHeight="12.75"/>
  <cols>
    <col min="1" max="1" width="11.5703125" style="12" customWidth="1"/>
    <col min="2" max="2" width="15.85546875" style="12" customWidth="1"/>
    <col min="3" max="3" width="35.5703125" style="12" customWidth="1"/>
    <col min="4" max="4" width="34.5703125" style="12" customWidth="1"/>
    <col min="5" max="5" width="33.42578125" style="12" customWidth="1"/>
    <col min="6" max="6" width="18" style="12" customWidth="1"/>
    <col min="7" max="7" width="13.140625" style="12" customWidth="1"/>
    <col min="8" max="8" width="9.42578125" style="11" customWidth="1"/>
    <col min="9" max="14" width="9.42578125" style="12" customWidth="1"/>
    <col min="15" max="15" width="14.140625" style="12" customWidth="1"/>
    <col min="16" max="16" width="19.7109375" style="12" customWidth="1"/>
    <col min="17" max="16384" width="9.140625" style="12"/>
  </cols>
  <sheetData>
    <row r="1" spans="1:16" s="18" customFormat="1" ht="36">
      <c r="A1" s="14" t="s">
        <v>23</v>
      </c>
      <c r="B1" s="14" t="s">
        <v>80</v>
      </c>
      <c r="C1" s="15" t="s">
        <v>24</v>
      </c>
      <c r="D1" s="15" t="s">
        <v>22</v>
      </c>
      <c r="E1" s="15" t="s">
        <v>25</v>
      </c>
      <c r="F1" s="10" t="s">
        <v>108</v>
      </c>
      <c r="G1" s="16" t="s">
        <v>155</v>
      </c>
      <c r="H1" s="16" t="s">
        <v>39</v>
      </c>
      <c r="I1" s="17" t="s">
        <v>40</v>
      </c>
      <c r="J1" s="17" t="s">
        <v>41</v>
      </c>
      <c r="K1" s="17" t="s">
        <v>42</v>
      </c>
      <c r="L1" s="17" t="s">
        <v>43</v>
      </c>
      <c r="M1" s="17" t="s">
        <v>44</v>
      </c>
      <c r="N1" s="17" t="s">
        <v>15</v>
      </c>
      <c r="O1" s="16" t="s">
        <v>17</v>
      </c>
      <c r="P1" s="17" t="s">
        <v>16</v>
      </c>
    </row>
    <row r="2" spans="1:16" ht="38.25">
      <c r="A2" s="22" t="s">
        <v>0</v>
      </c>
      <c r="B2" s="30" t="s">
        <v>81</v>
      </c>
      <c r="C2" s="31" t="s">
        <v>69</v>
      </c>
      <c r="D2" s="23" t="s">
        <v>71</v>
      </c>
      <c r="E2" s="32" t="s">
        <v>27</v>
      </c>
      <c r="F2" s="59">
        <f>SUM('Nueva EPS'!F2+Sanitas!F4+Coosalud!F2+Famisanar!F2+'Salud Total'!F2+Proteger!F2)</f>
        <v>14212</v>
      </c>
      <c r="G2" s="63" t="s">
        <v>114</v>
      </c>
      <c r="H2" s="64">
        <f>'Nueva EPS'!W2</f>
        <v>0.13885740194967125</v>
      </c>
      <c r="I2" s="67">
        <f>Sanitas!W2</f>
        <v>1.0771780303030303</v>
      </c>
      <c r="J2" s="67">
        <f>Coosalud!W2</f>
        <v>0.23148148148148148</v>
      </c>
      <c r="K2" s="67">
        <f>Famisanar!W2</f>
        <v>8.7154733172432289E-2</v>
      </c>
      <c r="L2" s="67">
        <f>'Salud Total'!W2</f>
        <v>1.83587701835877</v>
      </c>
      <c r="M2" s="67">
        <f>Proteger!W2</f>
        <v>1.1825572801182556</v>
      </c>
      <c r="N2" s="41">
        <f>SUM(H2:M2)</f>
        <v>4.5531059453836411</v>
      </c>
      <c r="O2" s="73">
        <f>AVERAGE(H2:M2)</f>
        <v>0.75885099089727348</v>
      </c>
      <c r="P2" s="13"/>
    </row>
    <row r="3" spans="1:16" ht="51">
      <c r="A3" s="22" t="s">
        <v>0</v>
      </c>
      <c r="B3" s="30" t="s">
        <v>82</v>
      </c>
      <c r="C3" s="31" t="s">
        <v>50</v>
      </c>
      <c r="D3" s="23" t="s">
        <v>49</v>
      </c>
      <c r="E3" s="33" t="s">
        <v>48</v>
      </c>
      <c r="F3" s="39" t="s">
        <v>106</v>
      </c>
      <c r="G3" s="39"/>
      <c r="H3" s="64">
        <f>'Nueva EPS'!W3</f>
        <v>3.4013605442176874E-2</v>
      </c>
      <c r="I3" s="67">
        <f>Sanitas!W3</f>
        <v>6.5934065934065934E-3</v>
      </c>
      <c r="J3" s="67">
        <f>Coosalud!W3</f>
        <v>0.12121212121212122</v>
      </c>
      <c r="K3" s="67">
        <f>Famisanar!W3</f>
        <v>0.30769230769230771</v>
      </c>
      <c r="L3" s="67">
        <f>'Salud Total'!W3</f>
        <v>0</v>
      </c>
      <c r="M3" s="67">
        <f>Proteger!W3</f>
        <v>0</v>
      </c>
      <c r="N3" s="41"/>
      <c r="O3" s="73">
        <f t="shared" ref="O2:O13" si="0">AVERAGE(H3:M3)</f>
        <v>7.8251906823335396E-2</v>
      </c>
      <c r="P3" s="13"/>
    </row>
    <row r="4" spans="1:16" ht="51">
      <c r="A4" s="22" t="s">
        <v>0</v>
      </c>
      <c r="B4" s="30" t="s">
        <v>83</v>
      </c>
      <c r="C4" s="31" t="s">
        <v>70</v>
      </c>
      <c r="D4" s="32" t="s">
        <v>72</v>
      </c>
      <c r="E4" s="29" t="s">
        <v>26</v>
      </c>
      <c r="F4" s="60">
        <f>SUM('Nueva EPS'!F4+Sanitas!F4+Coosalud!F4+Famisanar!F4+'Salud Total'!F4+Proteger!F4)</f>
        <v>36807</v>
      </c>
      <c r="G4" s="63" t="s">
        <v>121</v>
      </c>
      <c r="H4" s="64">
        <f>'Nueva EPS'!W4</f>
        <v>1.1169024571854059E-2</v>
      </c>
      <c r="I4" s="67">
        <f>Sanitas!W4</f>
        <v>3.0596634370219276E-3</v>
      </c>
      <c r="J4" s="67">
        <f>Coosalud!W4</f>
        <v>0.10200153964588145</v>
      </c>
      <c r="K4" s="67">
        <f>Famisanar!W4</f>
        <v>9.2833876221498371E-2</v>
      </c>
      <c r="L4" s="67">
        <f>'Salud Total'!W4</f>
        <v>0.16532618409294011</v>
      </c>
      <c r="M4" s="67">
        <f>Proteger!W4</f>
        <v>8.5034013605442174E-2</v>
      </c>
      <c r="N4" s="41">
        <f t="shared" ref="N4:N18" si="1">SUM(H4:M4)</f>
        <v>0.45942430157463809</v>
      </c>
      <c r="O4" s="73">
        <f t="shared" si="0"/>
        <v>7.6570716929106344E-2</v>
      </c>
      <c r="P4" s="13"/>
    </row>
    <row r="5" spans="1:16" ht="38.25">
      <c r="A5" s="22" t="s">
        <v>0</v>
      </c>
      <c r="B5" s="30" t="s">
        <v>84</v>
      </c>
      <c r="C5" s="31" t="s">
        <v>51</v>
      </c>
      <c r="D5" s="31" t="s">
        <v>46</v>
      </c>
      <c r="E5" s="46" t="s">
        <v>45</v>
      </c>
      <c r="F5" s="39" t="s">
        <v>106</v>
      </c>
      <c r="G5" s="39"/>
      <c r="H5" s="64">
        <f>'Nueva EPS'!W5</f>
        <v>0.40476190476190477</v>
      </c>
      <c r="I5" s="67">
        <f>Sanitas!W5</f>
        <v>0</v>
      </c>
      <c r="J5" s="67">
        <f>Coosalud!W5</f>
        <v>3.7735849056603772E-2</v>
      </c>
      <c r="K5" s="67">
        <f>Famisanar!W5</f>
        <v>0.10526315789473684</v>
      </c>
      <c r="L5" s="67">
        <f>'Salud Total'!W5</f>
        <v>2.7027027027027029E-2</v>
      </c>
      <c r="M5" s="67">
        <f>Proteger!W5</f>
        <v>0</v>
      </c>
      <c r="N5" s="41">
        <f t="shared" si="1"/>
        <v>0.57478793874027234</v>
      </c>
      <c r="O5" s="73">
        <f t="shared" si="0"/>
        <v>9.579798979004539E-2</v>
      </c>
      <c r="P5" s="13"/>
    </row>
    <row r="6" spans="1:16" ht="51">
      <c r="A6" s="22" t="s">
        <v>0</v>
      </c>
      <c r="B6" s="22" t="s">
        <v>85</v>
      </c>
      <c r="C6" s="23" t="s">
        <v>18</v>
      </c>
      <c r="D6" s="23" t="s">
        <v>52</v>
      </c>
      <c r="E6" s="32" t="s">
        <v>47</v>
      </c>
      <c r="F6" s="39" t="s">
        <v>106</v>
      </c>
      <c r="G6" s="39"/>
      <c r="H6" s="64">
        <f>'Nueva EPS'!W6</f>
        <v>1</v>
      </c>
      <c r="I6" s="67">
        <f>Sanitas!W6</f>
        <v>0</v>
      </c>
      <c r="J6" s="67">
        <f>Coosalud!W6</f>
        <v>0.25</v>
      </c>
      <c r="K6" s="67">
        <f>Famisanar!W6</f>
        <v>0.75</v>
      </c>
      <c r="L6" s="67" t="e">
        <f>'Salud Total'!W6</f>
        <v>#DIV/0!</v>
      </c>
      <c r="M6" s="67" t="e">
        <f>Proteger!W6</f>
        <v>#DIV/0!</v>
      </c>
      <c r="N6" s="41" t="e">
        <f t="shared" si="1"/>
        <v>#DIV/0!</v>
      </c>
      <c r="O6" s="73" t="e">
        <f t="shared" si="0"/>
        <v>#DIV/0!</v>
      </c>
      <c r="P6" s="13"/>
    </row>
    <row r="7" spans="1:16" ht="56.25" customHeight="1">
      <c r="A7" s="22" t="s">
        <v>12</v>
      </c>
      <c r="B7" s="24" t="s">
        <v>86</v>
      </c>
      <c r="C7" s="23" t="s">
        <v>53</v>
      </c>
      <c r="D7" s="23" t="s">
        <v>73</v>
      </c>
      <c r="E7" s="32" t="s">
        <v>28</v>
      </c>
      <c r="F7" s="61">
        <f>SUM('Nueva EPS'!F7+Sanitas!F7+Coosalud!F7+Famisanar!F7+'Salud Total'!F7+Proteger!F7)</f>
        <v>28215</v>
      </c>
      <c r="G7" s="63"/>
      <c r="H7" s="64">
        <f>'Nueva EPS'!W7</f>
        <v>6.4207189586565044E-2</v>
      </c>
      <c r="I7" s="67">
        <f>Sanitas!W7</f>
        <v>4.894420360788701E-3</v>
      </c>
      <c r="J7" s="67">
        <f>Coosalud!W7</f>
        <v>6.1394380853277836E-2</v>
      </c>
      <c r="K7" s="67">
        <f>Famisanar!W7</f>
        <v>0.35220935220935223</v>
      </c>
      <c r="L7" s="67">
        <f>'Salud Total'!W7</f>
        <v>6.9741282339707542E-2</v>
      </c>
      <c r="M7" s="67">
        <f>Proteger!W7</f>
        <v>4.8543689320388349E-2</v>
      </c>
      <c r="N7" s="41">
        <f t="shared" si="1"/>
        <v>0.60099031467007968</v>
      </c>
      <c r="O7" s="73">
        <f t="shared" si="0"/>
        <v>0.10016505244501328</v>
      </c>
      <c r="P7" s="13"/>
    </row>
    <row r="8" spans="1:16" ht="54" customHeight="1">
      <c r="A8" s="22" t="s">
        <v>12</v>
      </c>
      <c r="B8" s="25" t="s">
        <v>87</v>
      </c>
      <c r="C8" s="26" t="s">
        <v>54</v>
      </c>
      <c r="D8" s="26" t="s">
        <v>55</v>
      </c>
      <c r="E8" s="33" t="s">
        <v>29</v>
      </c>
      <c r="F8" s="59">
        <f>SUM('Nueva EPS'!F8+Sanitas!F8+Coosalud!F8+Famisanar!F8+'Salud Total'!F8+Proteger!F8)</f>
        <v>17438</v>
      </c>
      <c r="G8" s="63" t="s">
        <v>133</v>
      </c>
      <c r="H8" s="64">
        <f>'Nueva EPS'!W8</f>
        <v>0.1081026875250702</v>
      </c>
      <c r="I8" s="67">
        <f>Sanitas!W8</f>
        <v>0.14322250639386189</v>
      </c>
      <c r="J8" s="67">
        <f>Coosalud!W8</f>
        <v>0.08</v>
      </c>
      <c r="K8" s="67">
        <f>Famisanar!W8</f>
        <v>0.25525525525525528</v>
      </c>
      <c r="L8" s="67">
        <f>'Salud Total'!W8</f>
        <v>0.28490028490028491</v>
      </c>
      <c r="M8" s="67">
        <f>Proteger!W8</f>
        <v>0.375</v>
      </c>
      <c r="N8" s="41">
        <f t="shared" si="1"/>
        <v>1.2464807340744724</v>
      </c>
      <c r="O8" s="73">
        <f t="shared" si="0"/>
        <v>0.20774678901241206</v>
      </c>
      <c r="P8" s="13"/>
    </row>
    <row r="9" spans="1:16" ht="54" customHeight="1">
      <c r="A9" s="22" t="s">
        <v>12</v>
      </c>
      <c r="B9" s="25" t="s">
        <v>88</v>
      </c>
      <c r="C9" s="26" t="s">
        <v>57</v>
      </c>
      <c r="D9" s="26" t="s">
        <v>74</v>
      </c>
      <c r="E9" s="33" t="s">
        <v>56</v>
      </c>
      <c r="F9" s="39" t="s">
        <v>106</v>
      </c>
      <c r="G9" s="63"/>
      <c r="H9" s="64">
        <f>'Nueva EPS'!W9</f>
        <v>1.8552875695732839E-3</v>
      </c>
      <c r="I9" s="67">
        <f>Sanitas!W9</f>
        <v>3.5714285714285713E-3</v>
      </c>
      <c r="J9" s="67">
        <f>Coosalud!W9</f>
        <v>0</v>
      </c>
      <c r="K9" s="67">
        <f>Famisanar!W9</f>
        <v>0</v>
      </c>
      <c r="L9" s="67">
        <f>'Salud Total'!W9</f>
        <v>6.6666666666666671E-3</v>
      </c>
      <c r="M9" s="67">
        <f>Proteger!W9</f>
        <v>5.5555555555555552E-2</v>
      </c>
      <c r="N9" s="41">
        <f t="shared" si="1"/>
        <v>6.7648938363224081E-2</v>
      </c>
      <c r="O9" s="73">
        <f t="shared" si="0"/>
        <v>1.1274823060537347E-2</v>
      </c>
      <c r="P9" s="13"/>
    </row>
    <row r="10" spans="1:16" ht="65.25" customHeight="1">
      <c r="A10" s="27" t="s">
        <v>12</v>
      </c>
      <c r="B10" s="28" t="s">
        <v>89</v>
      </c>
      <c r="C10" s="29" t="s">
        <v>58</v>
      </c>
      <c r="D10" s="29" t="s">
        <v>75</v>
      </c>
      <c r="E10" s="45" t="s">
        <v>30</v>
      </c>
      <c r="F10" s="39" t="s">
        <v>106</v>
      </c>
      <c r="G10" s="65"/>
      <c r="H10" s="64">
        <f>'Nueva EPS'!W10</f>
        <v>1.8552875695732839E-3</v>
      </c>
      <c r="I10" s="67">
        <f>Sanitas!W10</f>
        <v>0</v>
      </c>
      <c r="J10" s="67">
        <f>Coosalud!W10</f>
        <v>0</v>
      </c>
      <c r="K10" s="67">
        <f>Famisanar!W10</f>
        <v>0</v>
      </c>
      <c r="L10" s="67">
        <f>'Salud Total'!W10</f>
        <v>6.6666666666666671E-3</v>
      </c>
      <c r="M10" s="67">
        <f>Proteger!W10</f>
        <v>5.5555555555555552E-2</v>
      </c>
      <c r="N10" s="41">
        <f t="shared" si="1"/>
        <v>6.4077509791795509E-2</v>
      </c>
      <c r="O10" s="73">
        <f t="shared" si="0"/>
        <v>1.0679584965299251E-2</v>
      </c>
      <c r="P10" s="13"/>
    </row>
    <row r="11" spans="1:16" ht="55.5" customHeight="1">
      <c r="A11" s="22" t="s">
        <v>13</v>
      </c>
      <c r="B11" s="22" t="s">
        <v>90</v>
      </c>
      <c r="C11" s="23" t="s">
        <v>21</v>
      </c>
      <c r="D11" s="23" t="s">
        <v>76</v>
      </c>
      <c r="E11" s="32" t="s">
        <v>31</v>
      </c>
      <c r="F11" s="59">
        <f>SUM('Nueva EPS'!F11+Sanitas!F11+Coosalud!F11+Famisanar!F11+'Salud Total'!F11+Proteger!F11)</f>
        <v>17213</v>
      </c>
      <c r="G11" s="66" t="s">
        <v>134</v>
      </c>
      <c r="H11" s="64">
        <f>'Nueva EPS'!W11</f>
        <v>0.10215782341290523</v>
      </c>
      <c r="I11" s="67">
        <f>Sanitas!W11</f>
        <v>0.23458609678211739</v>
      </c>
      <c r="J11" s="67">
        <f>Coosalud!W11</f>
        <v>0.23709167544783982</v>
      </c>
      <c r="K11" s="67">
        <f>Famisanar!W11</f>
        <v>0.5544077134986225</v>
      </c>
      <c r="L11" s="67">
        <f>'Salud Total'!W11</f>
        <v>0.40999057492931196</v>
      </c>
      <c r="M11" s="67">
        <f>Proteger!W11</f>
        <v>0.4022988505747126</v>
      </c>
      <c r="N11" s="41">
        <f t="shared" si="1"/>
        <v>1.9405327346455095</v>
      </c>
      <c r="O11" s="73">
        <f t="shared" si="0"/>
        <v>0.32342212244091822</v>
      </c>
      <c r="P11" s="13"/>
    </row>
    <row r="12" spans="1:16" ht="54.75" customHeight="1">
      <c r="A12" s="4" t="s">
        <v>13</v>
      </c>
      <c r="B12" s="5" t="s">
        <v>91</v>
      </c>
      <c r="C12" s="1" t="s">
        <v>19</v>
      </c>
      <c r="D12" s="1" t="s">
        <v>77</v>
      </c>
      <c r="E12" s="47" t="s">
        <v>31</v>
      </c>
      <c r="F12" s="59">
        <f>SUM('Nueva EPS'!F12+Sanitas!F12+Coosalud!F12+Famisanar!F12+'Salud Total'!F12+Proteger!F12)</f>
        <v>17213</v>
      </c>
      <c r="G12" s="66" t="s">
        <v>147</v>
      </c>
      <c r="H12" s="64">
        <f>'Nueva EPS'!W12</f>
        <v>8.235171479203586E-2</v>
      </c>
      <c r="I12" s="67">
        <f>Sanitas!W12</f>
        <v>0.22844509948415623</v>
      </c>
      <c r="J12" s="67">
        <f>Coosalud!W12</f>
        <v>0.15279241306638566</v>
      </c>
      <c r="K12" s="67">
        <f>Famisanar!W12</f>
        <v>0.26515151515151514</v>
      </c>
      <c r="L12" s="67">
        <f>'Salud Total'!W12</f>
        <v>1.1592836946277096</v>
      </c>
      <c r="M12" s="67">
        <f>Proteger!W12</f>
        <v>0.74712643678160906</v>
      </c>
      <c r="N12" s="41">
        <f t="shared" si="1"/>
        <v>2.6351508739034113</v>
      </c>
      <c r="O12" s="73">
        <f t="shared" si="0"/>
        <v>0.4391918123172352</v>
      </c>
      <c r="P12" s="13"/>
    </row>
    <row r="13" spans="1:16" ht="63" customHeight="1">
      <c r="A13" s="8" t="s">
        <v>13</v>
      </c>
      <c r="B13" s="7" t="s">
        <v>92</v>
      </c>
      <c r="C13" s="3" t="s">
        <v>20</v>
      </c>
      <c r="D13" s="3" t="s">
        <v>59</v>
      </c>
      <c r="E13" s="48" t="s">
        <v>31</v>
      </c>
      <c r="F13" s="59">
        <f>SUM('Nueva EPS'!F13+Sanitas!F13+Coosalud!F13+Famisanar!F13+'Salud Total'!F13+Proteger!F13)</f>
        <v>17213</v>
      </c>
      <c r="G13" s="66" t="s">
        <v>148</v>
      </c>
      <c r="H13" s="64">
        <f>'Nueva EPS'!W13</f>
        <v>8.235171479203586E-2</v>
      </c>
      <c r="I13" s="67">
        <f>Sanitas!W13</f>
        <v>4.1758781626136082E-2</v>
      </c>
      <c r="J13" s="67">
        <f>Coosalud!W13</f>
        <v>3.1612223393045306E-2</v>
      </c>
      <c r="K13" s="67">
        <f>Famisanar!W13</f>
        <v>3.4435261707988975E-2</v>
      </c>
      <c r="L13" s="67">
        <f>'Salud Total'!W13</f>
        <v>1.5692742695570217</v>
      </c>
      <c r="M13" s="67">
        <f>Proteger!W13</f>
        <v>0.11494252873563217</v>
      </c>
      <c r="N13" s="41">
        <f t="shared" si="1"/>
        <v>1.8743747798118602</v>
      </c>
      <c r="O13" s="73">
        <f t="shared" si="0"/>
        <v>0.31239579663531003</v>
      </c>
      <c r="P13" s="13"/>
    </row>
    <row r="14" spans="1:16" ht="63" customHeight="1">
      <c r="A14" s="9" t="s">
        <v>13</v>
      </c>
      <c r="B14" s="6" t="s">
        <v>107</v>
      </c>
      <c r="C14" s="2" t="s">
        <v>93</v>
      </c>
      <c r="D14" s="2" t="s">
        <v>61</v>
      </c>
      <c r="E14" s="49" t="s">
        <v>60</v>
      </c>
      <c r="F14" s="39" t="s">
        <v>106</v>
      </c>
      <c r="G14" s="39"/>
      <c r="H14" s="64">
        <f>'Nueva EPS'!W14</f>
        <v>0.10759493670886076</v>
      </c>
      <c r="I14" s="67">
        <f>Sanitas!W14</f>
        <v>0.14705882352941177</v>
      </c>
      <c r="J14" s="67">
        <f>Coosalud!W14</f>
        <v>0.16666666666666666</v>
      </c>
      <c r="K14" s="67">
        <f>Famisanar!W14</f>
        <v>0.4</v>
      </c>
      <c r="L14" s="67">
        <f>'Salud Total'!W14</f>
        <v>0</v>
      </c>
      <c r="M14" s="67">
        <f>Proteger!W14</f>
        <v>0</v>
      </c>
      <c r="N14" s="41"/>
      <c r="O14" s="73">
        <f t="shared" ref="O14:O18" si="2">AVERAGE(H14:M14)</f>
        <v>0.13688673781748986</v>
      </c>
      <c r="P14" s="13"/>
    </row>
    <row r="15" spans="1:16" ht="70.5" customHeight="1">
      <c r="A15" s="19" t="s">
        <v>13</v>
      </c>
      <c r="B15" s="20" t="s">
        <v>95</v>
      </c>
      <c r="C15" s="21" t="s">
        <v>34</v>
      </c>
      <c r="D15" s="21" t="s">
        <v>32</v>
      </c>
      <c r="E15" s="50" t="s">
        <v>33</v>
      </c>
      <c r="F15" s="39" t="s">
        <v>106</v>
      </c>
      <c r="G15" s="39"/>
      <c r="H15" s="64">
        <f>'Nueva EPS'!W15</f>
        <v>0</v>
      </c>
      <c r="I15" s="67">
        <f>Sanitas!W15</f>
        <v>0</v>
      </c>
      <c r="J15" s="67">
        <f>Coosalud!W15</f>
        <v>0</v>
      </c>
      <c r="K15" s="67">
        <f>Famisanar!W15</f>
        <v>0</v>
      </c>
      <c r="L15" s="67" t="e">
        <f>'Salud Total'!W15</f>
        <v>#DIV/0!</v>
      </c>
      <c r="M15" s="67" t="e">
        <f>Proteger!W15</f>
        <v>#DIV/0!</v>
      </c>
      <c r="N15" s="41" t="e">
        <f t="shared" si="1"/>
        <v>#DIV/0!</v>
      </c>
      <c r="O15" s="73" t="e">
        <f t="shared" si="2"/>
        <v>#DIV/0!</v>
      </c>
      <c r="P15" s="13"/>
    </row>
    <row r="16" spans="1:16" ht="63.75">
      <c r="A16" s="9" t="s">
        <v>14</v>
      </c>
      <c r="B16" s="6" t="s">
        <v>96</v>
      </c>
      <c r="C16" s="2" t="s">
        <v>64</v>
      </c>
      <c r="D16" s="2" t="s">
        <v>63</v>
      </c>
      <c r="E16" s="49" t="s">
        <v>62</v>
      </c>
      <c r="F16" s="59">
        <f>SUM('Nueva EPS'!F16+Sanitas!F16+Coosalud!F16+Famisanar!F16+'Salud Total'!F16+Proteger!F16)</f>
        <v>37911</v>
      </c>
      <c r="G16" s="65" t="s">
        <v>103</v>
      </c>
      <c r="H16" s="64">
        <f>'Nueva EPS'!W16</f>
        <v>9.1752434577929573E-2</v>
      </c>
      <c r="I16" s="67">
        <f>Sanitas!W16</f>
        <v>6.8836775172091941E-2</v>
      </c>
      <c r="J16" s="67">
        <f>Coosalud!W16</f>
        <v>3.4022988505747129E-2</v>
      </c>
      <c r="K16" s="67">
        <f>Famisanar!W16</f>
        <v>0.10365448504983389</v>
      </c>
      <c r="L16" s="67">
        <f>'Salud Total'!W16</f>
        <v>0.28284591881274551</v>
      </c>
      <c r="M16" s="67">
        <f>Proteger!W16</f>
        <v>0.10152284263959391</v>
      </c>
      <c r="N16" s="41">
        <f t="shared" si="1"/>
        <v>0.68263544475794191</v>
      </c>
      <c r="O16" s="73">
        <f t="shared" si="2"/>
        <v>0.11377257412632365</v>
      </c>
      <c r="P16" s="13"/>
    </row>
    <row r="17" spans="1:16" ht="58.5" customHeight="1">
      <c r="A17" s="9" t="s">
        <v>14</v>
      </c>
      <c r="B17" s="6" t="s">
        <v>97</v>
      </c>
      <c r="C17" s="2" t="s">
        <v>67</v>
      </c>
      <c r="D17" s="2" t="s">
        <v>66</v>
      </c>
      <c r="E17" s="49" t="s">
        <v>65</v>
      </c>
      <c r="F17" s="39" t="s">
        <v>106</v>
      </c>
      <c r="G17" s="39"/>
      <c r="H17" s="64">
        <f>'Nueva EPS'!W17</f>
        <v>4.8289738430583498E-2</v>
      </c>
      <c r="I17" s="67">
        <f>Sanitas!W17</f>
        <v>0</v>
      </c>
      <c r="J17" s="67">
        <f>Coosalud!W17</f>
        <v>8.1081081081081086E-2</v>
      </c>
      <c r="K17" s="67">
        <f>Famisanar!W17</f>
        <v>5.128205128205128E-2</v>
      </c>
      <c r="L17" s="67">
        <f>'Salud Total'!W17</f>
        <v>0</v>
      </c>
      <c r="M17" s="67">
        <f>Proteger!W17</f>
        <v>0</v>
      </c>
      <c r="N17" s="41"/>
      <c r="O17" s="73">
        <f t="shared" si="2"/>
        <v>3.0108811798952639E-2</v>
      </c>
      <c r="P17" s="13"/>
    </row>
    <row r="18" spans="1:16" ht="76.5">
      <c r="A18" s="9" t="s">
        <v>14</v>
      </c>
      <c r="B18" s="6" t="s">
        <v>99</v>
      </c>
      <c r="C18" s="2" t="s">
        <v>36</v>
      </c>
      <c r="D18" s="2" t="s">
        <v>68</v>
      </c>
      <c r="E18" s="49" t="s">
        <v>35</v>
      </c>
      <c r="F18" s="39" t="s">
        <v>106</v>
      </c>
      <c r="G18" s="39"/>
      <c r="H18" s="64">
        <f>'Nueva EPS'!W18</f>
        <v>0</v>
      </c>
      <c r="I18" s="67" t="e">
        <f>Sanitas!W18</f>
        <v>#DIV/0!</v>
      </c>
      <c r="J18" s="67">
        <f>Coosalud!W18</f>
        <v>1</v>
      </c>
      <c r="K18" s="67">
        <f>Famisanar!W18</f>
        <v>0</v>
      </c>
      <c r="L18" s="67" t="e">
        <f>'Salud Total'!W18</f>
        <v>#DIV/0!</v>
      </c>
      <c r="M18" s="67" t="e">
        <f>Proteger!W18</f>
        <v>#DIV/0!</v>
      </c>
      <c r="N18" s="41" t="e">
        <f t="shared" si="1"/>
        <v>#DIV/0!</v>
      </c>
      <c r="O18" s="73" t="e">
        <f t="shared" si="2"/>
        <v>#DIV/0!</v>
      </c>
      <c r="P18" s="13"/>
    </row>
  </sheetData>
  <autoFilter ref="A1:P18" xr:uid="{4B5EB547-C5AD-410F-BF62-5BD4028D488D}"/>
  <pageMargins left="0.7" right="0.7" top="0.75" bottom="0.75" header="0.3" footer="0.3"/>
  <pageSetup orientation="portrait" horizontalDpi="0" verticalDpi="0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516CC23-8071-4820-94FB-7E69068D612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Consolidado!H2:M2</xm:f>
              <xm:sqref>P2</xm:sqref>
            </x14:sparkline>
            <x14:sparkline>
              <xm:f>Consolidado!H3:M3</xm:f>
              <xm:sqref>P3</xm:sqref>
            </x14:sparkline>
            <x14:sparkline>
              <xm:f>Consolidado!H4:M4</xm:f>
              <xm:sqref>P4</xm:sqref>
            </x14:sparkline>
            <x14:sparkline>
              <xm:f>Consolidado!H5:M5</xm:f>
              <xm:sqref>P5</xm:sqref>
            </x14:sparkline>
            <x14:sparkline>
              <xm:f>Consolidado!H6:M6</xm:f>
              <xm:sqref>P6</xm:sqref>
            </x14:sparkline>
            <x14:sparkline>
              <xm:f>Consolidado!H7:M7</xm:f>
              <xm:sqref>P7</xm:sqref>
            </x14:sparkline>
            <x14:sparkline>
              <xm:f>Consolidado!H8:M8</xm:f>
              <xm:sqref>P8</xm:sqref>
            </x14:sparkline>
            <x14:sparkline>
              <xm:f>Consolidado!H9:M9</xm:f>
              <xm:sqref>P9</xm:sqref>
            </x14:sparkline>
            <x14:sparkline>
              <xm:f>Consolidado!H10:M10</xm:f>
              <xm:sqref>P10</xm:sqref>
            </x14:sparkline>
            <x14:sparkline>
              <xm:f>Consolidado!H11:M11</xm:f>
              <xm:sqref>P11</xm:sqref>
            </x14:sparkline>
            <x14:sparkline>
              <xm:f>Consolidado!H12:M12</xm:f>
              <xm:sqref>P12</xm:sqref>
            </x14:sparkline>
            <x14:sparkline>
              <xm:f>Consolidado!H13:M13</xm:f>
              <xm:sqref>P13</xm:sqref>
            </x14:sparkline>
            <x14:sparkline>
              <xm:f>Consolidado!H14:M14</xm:f>
              <xm:sqref>P14</xm:sqref>
            </x14:sparkline>
            <x14:sparkline>
              <xm:f>Consolidado!H15:M15</xm:f>
              <xm:sqref>P15</xm:sqref>
            </x14:sparkline>
            <x14:sparkline>
              <xm:f>Consolidado!H16:M16</xm:f>
              <xm:sqref>P16</xm:sqref>
            </x14:sparkline>
            <x14:sparkline>
              <xm:f>Consolidado!H17:M17</xm:f>
              <xm:sqref>P17</xm:sqref>
            </x14:sparkline>
            <x14:sparkline>
              <xm:f>Consolidado!H18:M18</xm:f>
              <xm:sqref>P18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0F29-8C79-42F3-A5FB-2E68558C6126}">
  <sheetPr>
    <tabColor theme="0" tint="-0.14999847407452621"/>
  </sheetPr>
  <dimension ref="A1:W18"/>
  <sheetViews>
    <sheetView topLeftCell="C1" workbookViewId="0">
      <selection activeCell="E5" sqref="E5"/>
    </sheetView>
  </sheetViews>
  <sheetFormatPr baseColWidth="10" defaultColWidth="9.140625" defaultRowHeight="12.75"/>
  <cols>
    <col min="1" max="1" width="11.5703125" style="12" customWidth="1"/>
    <col min="2" max="2" width="15.85546875" style="12" customWidth="1"/>
    <col min="3" max="3" width="37.5703125" style="12" customWidth="1"/>
    <col min="4" max="4" width="34.5703125" style="12" customWidth="1"/>
    <col min="5" max="5" width="33.42578125" style="12" customWidth="1"/>
    <col min="6" max="6" width="18" style="12" customWidth="1"/>
    <col min="7" max="8" width="14.140625" style="11" customWidth="1"/>
    <col min="9" max="9" width="14.85546875" style="12" customWidth="1"/>
    <col min="10" max="14" width="9.42578125" style="12" customWidth="1"/>
    <col min="15" max="15" width="9.7109375" style="12" customWidth="1"/>
    <col min="16" max="16" width="9.140625" style="12" customWidth="1"/>
    <col min="17" max="17" width="12.42578125" style="12" customWidth="1"/>
    <col min="18" max="18" width="11.42578125" style="12" customWidth="1"/>
    <col min="19" max="19" width="9.140625" style="12"/>
    <col min="20" max="20" width="10.85546875" style="12" customWidth="1"/>
    <col min="21" max="21" width="11.7109375" style="12" customWidth="1"/>
    <col min="22" max="22" width="12.7109375" style="12" customWidth="1"/>
    <col min="23" max="16384" width="9.140625" style="12"/>
  </cols>
  <sheetData>
    <row r="1" spans="1:23" s="18" customFormat="1" ht="24">
      <c r="A1" s="14" t="s">
        <v>23</v>
      </c>
      <c r="B1" s="14" t="s">
        <v>80</v>
      </c>
      <c r="C1" s="15" t="s">
        <v>24</v>
      </c>
      <c r="D1" s="15" t="s">
        <v>22</v>
      </c>
      <c r="E1" s="15" t="s">
        <v>25</v>
      </c>
      <c r="F1" s="51" t="s">
        <v>38</v>
      </c>
      <c r="G1" s="16" t="s">
        <v>100</v>
      </c>
      <c r="H1" s="16" t="s">
        <v>102</v>
      </c>
      <c r="I1" s="17" t="s">
        <v>101</v>
      </c>
      <c r="J1" s="17" t="s">
        <v>37</v>
      </c>
      <c r="K1" s="17" t="s">
        <v>1</v>
      </c>
      <c r="L1" s="17" t="s">
        <v>2</v>
      </c>
      <c r="M1" s="17" t="s">
        <v>3</v>
      </c>
      <c r="N1" s="17" t="s">
        <v>4</v>
      </c>
      <c r="O1" s="17" t="s">
        <v>5</v>
      </c>
      <c r="P1" s="17" t="s">
        <v>6</v>
      </c>
      <c r="Q1" s="17" t="s">
        <v>7</v>
      </c>
      <c r="R1" s="17" t="s">
        <v>8</v>
      </c>
      <c r="S1" s="17" t="s">
        <v>9</v>
      </c>
      <c r="T1" s="17" t="s">
        <v>10</v>
      </c>
      <c r="U1" s="17" t="s">
        <v>11</v>
      </c>
      <c r="V1" s="16" t="s">
        <v>104</v>
      </c>
      <c r="W1" s="16" t="s">
        <v>105</v>
      </c>
    </row>
    <row r="2" spans="1:23" ht="38.25">
      <c r="A2" s="22" t="s">
        <v>0</v>
      </c>
      <c r="B2" s="30" t="s">
        <v>81</v>
      </c>
      <c r="C2" s="31" t="s">
        <v>69</v>
      </c>
      <c r="D2" s="23" t="s">
        <v>71</v>
      </c>
      <c r="E2" s="32" t="s">
        <v>27</v>
      </c>
      <c r="F2" s="57">
        <f>SUM('Nueva EPS'!F2+Sanitas!F4+Coosalud!F2+Famisanar!F2+'Salud Total'!F2+Proteger!F2)</f>
        <v>14212</v>
      </c>
      <c r="G2" s="37">
        <v>0.33</v>
      </c>
      <c r="H2" s="38">
        <f>F2*0.33</f>
        <v>4689.96</v>
      </c>
      <c r="I2" s="38"/>
      <c r="J2" s="40"/>
      <c r="K2" s="40"/>
      <c r="L2" s="40"/>
      <c r="M2" s="40"/>
      <c r="N2" s="41"/>
      <c r="O2" s="41"/>
      <c r="P2" s="42"/>
      <c r="Q2" s="42"/>
      <c r="R2" s="42"/>
      <c r="S2" s="42"/>
      <c r="T2" s="42"/>
      <c r="U2" s="42"/>
      <c r="V2" s="42">
        <f>SUM(J2:U2)</f>
        <v>0</v>
      </c>
      <c r="W2" s="43">
        <f>V2/H2</f>
        <v>0</v>
      </c>
    </row>
    <row r="3" spans="1:23" ht="51">
      <c r="A3" s="22" t="s">
        <v>0</v>
      </c>
      <c r="B3" s="30" t="s">
        <v>82</v>
      </c>
      <c r="C3" s="31" t="s">
        <v>50</v>
      </c>
      <c r="D3" s="23" t="s">
        <v>49</v>
      </c>
      <c r="E3" s="33" t="s">
        <v>48</v>
      </c>
      <c r="F3" s="39"/>
      <c r="G3" s="37">
        <v>1</v>
      </c>
      <c r="H3" s="37">
        <v>1</v>
      </c>
      <c r="I3" s="38"/>
      <c r="J3" s="40"/>
      <c r="K3" s="40"/>
      <c r="L3" s="40"/>
      <c r="M3" s="40"/>
      <c r="N3" s="41"/>
      <c r="O3" s="41"/>
      <c r="P3" s="42"/>
      <c r="Q3" s="42"/>
      <c r="R3" s="42"/>
      <c r="S3" s="42"/>
      <c r="T3" s="42"/>
      <c r="U3" s="42"/>
      <c r="V3" s="42">
        <f>SUM(J3:U3)</f>
        <v>0</v>
      </c>
      <c r="W3" s="44" t="e">
        <f>V3/V2</f>
        <v>#DIV/0!</v>
      </c>
    </row>
    <row r="4" spans="1:23" ht="51">
      <c r="A4" s="22" t="s">
        <v>0</v>
      </c>
      <c r="B4" s="30" t="s">
        <v>83</v>
      </c>
      <c r="C4" s="31" t="s">
        <v>70</v>
      </c>
      <c r="D4" s="32" t="s">
        <v>72</v>
      </c>
      <c r="E4" s="45" t="s">
        <v>26</v>
      </c>
      <c r="F4" s="39"/>
      <c r="G4" s="37">
        <v>0.2</v>
      </c>
      <c r="H4" s="38">
        <f>F4*0.2</f>
        <v>0</v>
      </c>
      <c r="I4" s="38"/>
      <c r="J4" s="40"/>
      <c r="K4" s="40"/>
      <c r="L4" s="40"/>
      <c r="M4" s="40"/>
      <c r="N4" s="41"/>
      <c r="O4" s="41"/>
      <c r="P4" s="40"/>
      <c r="Q4" s="42"/>
      <c r="R4" s="42"/>
      <c r="S4" s="42"/>
      <c r="T4" s="42"/>
      <c r="U4" s="42"/>
      <c r="V4" s="42">
        <f t="shared" ref="V4:V18" si="0">SUM(J4:U4)</f>
        <v>0</v>
      </c>
      <c r="W4" s="43" t="e">
        <f t="shared" ref="W4:W16" si="1">V4/H4</f>
        <v>#DIV/0!</v>
      </c>
    </row>
    <row r="5" spans="1:23" ht="38.25">
      <c r="A5" s="22" t="s">
        <v>0</v>
      </c>
      <c r="B5" s="30" t="s">
        <v>84</v>
      </c>
      <c r="C5" s="31" t="s">
        <v>51</v>
      </c>
      <c r="D5" s="31" t="s">
        <v>46</v>
      </c>
      <c r="E5" s="46" t="s">
        <v>45</v>
      </c>
      <c r="F5" s="39"/>
      <c r="G5" s="37">
        <v>1</v>
      </c>
      <c r="H5" s="37">
        <v>1</v>
      </c>
      <c r="I5" s="38"/>
      <c r="J5" s="40"/>
      <c r="K5" s="40"/>
      <c r="L5" s="40"/>
      <c r="M5" s="40"/>
      <c r="N5" s="41"/>
      <c r="O5" s="41"/>
      <c r="P5" s="40"/>
      <c r="Q5" s="42"/>
      <c r="R5" s="42"/>
      <c r="S5" s="42"/>
      <c r="T5" s="42"/>
      <c r="U5" s="42"/>
      <c r="V5" s="42">
        <f t="shared" si="0"/>
        <v>0</v>
      </c>
      <c r="W5" s="43" t="e">
        <f>V5/V4</f>
        <v>#DIV/0!</v>
      </c>
    </row>
    <row r="6" spans="1:23" ht="51">
      <c r="A6" s="22" t="s">
        <v>0</v>
      </c>
      <c r="B6" s="22" t="s">
        <v>85</v>
      </c>
      <c r="C6" s="23" t="s">
        <v>18</v>
      </c>
      <c r="D6" s="23" t="s">
        <v>52</v>
      </c>
      <c r="E6" s="32" t="s">
        <v>47</v>
      </c>
      <c r="F6" s="39"/>
      <c r="G6" s="37">
        <v>1</v>
      </c>
      <c r="H6" s="37">
        <v>1</v>
      </c>
      <c r="I6" s="38"/>
      <c r="J6" s="40"/>
      <c r="K6" s="40"/>
      <c r="L6" s="40"/>
      <c r="M6" s="40"/>
      <c r="N6" s="41"/>
      <c r="O6" s="41"/>
      <c r="P6" s="40"/>
      <c r="Q6" s="42"/>
      <c r="R6" s="42"/>
      <c r="S6" s="42"/>
      <c r="T6" s="42"/>
      <c r="U6" s="42"/>
      <c r="V6" s="42">
        <f t="shared" si="0"/>
        <v>0</v>
      </c>
      <c r="W6" s="43" t="e">
        <f>V6/V3</f>
        <v>#DIV/0!</v>
      </c>
    </row>
    <row r="7" spans="1:23" ht="56.25" customHeight="1">
      <c r="A7" s="22" t="s">
        <v>12</v>
      </c>
      <c r="B7" s="24" t="s">
        <v>86</v>
      </c>
      <c r="C7" s="23" t="s">
        <v>53</v>
      </c>
      <c r="D7" s="23" t="s">
        <v>73</v>
      </c>
      <c r="E7" s="32" t="s">
        <v>28</v>
      </c>
      <c r="F7" s="39"/>
      <c r="G7" s="37">
        <v>1</v>
      </c>
      <c r="H7" s="38">
        <f>F7*1</f>
        <v>0</v>
      </c>
      <c r="I7" s="38"/>
      <c r="J7" s="40"/>
      <c r="K7" s="40"/>
      <c r="L7" s="40"/>
      <c r="M7" s="40"/>
      <c r="N7" s="41"/>
      <c r="O7" s="41"/>
      <c r="P7" s="40"/>
      <c r="Q7" s="42"/>
      <c r="R7" s="42"/>
      <c r="S7" s="42"/>
      <c r="T7" s="42"/>
      <c r="U7" s="42"/>
      <c r="V7" s="42">
        <f t="shared" si="0"/>
        <v>0</v>
      </c>
      <c r="W7" s="43" t="e">
        <f t="shared" si="1"/>
        <v>#DIV/0!</v>
      </c>
    </row>
    <row r="8" spans="1:23" ht="54" customHeight="1">
      <c r="A8" s="22" t="s">
        <v>12</v>
      </c>
      <c r="B8" s="25" t="s">
        <v>87</v>
      </c>
      <c r="C8" s="26" t="s">
        <v>54</v>
      </c>
      <c r="D8" s="26" t="s">
        <v>55</v>
      </c>
      <c r="E8" s="33" t="s">
        <v>29</v>
      </c>
      <c r="F8" s="39"/>
      <c r="G8" s="37">
        <v>0.5</v>
      </c>
      <c r="H8" s="38">
        <f>F8*0.5</f>
        <v>0</v>
      </c>
      <c r="I8" s="38"/>
      <c r="J8" s="40"/>
      <c r="K8" s="40"/>
      <c r="L8" s="40"/>
      <c r="M8" s="40"/>
      <c r="N8" s="41"/>
      <c r="O8" s="41"/>
      <c r="P8" s="40"/>
      <c r="Q8" s="42"/>
      <c r="R8" s="42"/>
      <c r="S8" s="42"/>
      <c r="T8" s="42"/>
      <c r="U8" s="42"/>
      <c r="V8" s="42">
        <f t="shared" si="0"/>
        <v>0</v>
      </c>
      <c r="W8" s="43" t="e">
        <f t="shared" si="1"/>
        <v>#DIV/0!</v>
      </c>
    </row>
    <row r="9" spans="1:23" ht="54" customHeight="1">
      <c r="A9" s="22" t="s">
        <v>12</v>
      </c>
      <c r="B9" s="25" t="s">
        <v>88</v>
      </c>
      <c r="C9" s="26" t="s">
        <v>57</v>
      </c>
      <c r="D9" s="26" t="s">
        <v>74</v>
      </c>
      <c r="E9" s="33" t="s">
        <v>56</v>
      </c>
      <c r="F9" s="39"/>
      <c r="G9" s="37">
        <v>1</v>
      </c>
      <c r="H9" s="37">
        <v>1</v>
      </c>
      <c r="I9" s="38"/>
      <c r="J9" s="40"/>
      <c r="K9" s="40"/>
      <c r="L9" s="40"/>
      <c r="M9" s="40"/>
      <c r="N9" s="41"/>
      <c r="O9" s="41"/>
      <c r="P9" s="40"/>
      <c r="Q9" s="42"/>
      <c r="R9" s="42"/>
      <c r="S9" s="42"/>
      <c r="T9" s="42"/>
      <c r="U9" s="42"/>
      <c r="V9" s="42">
        <f t="shared" si="0"/>
        <v>0</v>
      </c>
      <c r="W9" s="43" t="e">
        <f>V9/V8</f>
        <v>#DIV/0!</v>
      </c>
    </row>
    <row r="10" spans="1:23" ht="65.25" customHeight="1">
      <c r="A10" s="27" t="s">
        <v>12</v>
      </c>
      <c r="B10" s="28" t="s">
        <v>89</v>
      </c>
      <c r="C10" s="29" t="s">
        <v>58</v>
      </c>
      <c r="D10" s="29" t="s">
        <v>75</v>
      </c>
      <c r="E10" s="45" t="s">
        <v>30</v>
      </c>
      <c r="F10" s="39"/>
      <c r="G10" s="37">
        <v>1</v>
      </c>
      <c r="H10" s="37">
        <v>1</v>
      </c>
      <c r="I10" s="38"/>
      <c r="J10" s="40"/>
      <c r="K10" s="40"/>
      <c r="L10" s="40"/>
      <c r="M10" s="40"/>
      <c r="N10" s="41"/>
      <c r="O10" s="41"/>
      <c r="P10" s="40"/>
      <c r="Q10" s="42"/>
      <c r="R10" s="42"/>
      <c r="S10" s="42"/>
      <c r="T10" s="42"/>
      <c r="U10" s="42"/>
      <c r="V10" s="42">
        <f t="shared" si="0"/>
        <v>0</v>
      </c>
      <c r="W10" s="43" t="e">
        <f>V10/V8</f>
        <v>#DIV/0!</v>
      </c>
    </row>
    <row r="11" spans="1:23" ht="55.5" customHeight="1">
      <c r="A11" s="22" t="s">
        <v>13</v>
      </c>
      <c r="B11" s="22" t="s">
        <v>90</v>
      </c>
      <c r="C11" s="23" t="s">
        <v>21</v>
      </c>
      <c r="D11" s="23" t="s">
        <v>76</v>
      </c>
      <c r="E11" s="32" t="s">
        <v>31</v>
      </c>
      <c r="F11" s="39"/>
      <c r="G11" s="37">
        <v>0.2</v>
      </c>
      <c r="H11" s="38">
        <f>F11*0.2</f>
        <v>0</v>
      </c>
      <c r="I11" s="38"/>
      <c r="J11" s="40"/>
      <c r="K11" s="40"/>
      <c r="L11" s="40"/>
      <c r="M11" s="40"/>
      <c r="N11" s="41"/>
      <c r="O11" s="41"/>
      <c r="P11" s="40"/>
      <c r="Q11" s="42"/>
      <c r="R11" s="42"/>
      <c r="S11" s="42"/>
      <c r="T11" s="42"/>
      <c r="U11" s="42"/>
      <c r="V11" s="42">
        <f t="shared" si="0"/>
        <v>0</v>
      </c>
      <c r="W11" s="43" t="e">
        <f t="shared" si="1"/>
        <v>#DIV/0!</v>
      </c>
    </row>
    <row r="12" spans="1:23" ht="54.75" customHeight="1">
      <c r="A12" s="4" t="s">
        <v>13</v>
      </c>
      <c r="B12" s="5" t="s">
        <v>91</v>
      </c>
      <c r="C12" s="1" t="s">
        <v>19</v>
      </c>
      <c r="D12" s="1" t="s">
        <v>77</v>
      </c>
      <c r="E12" s="47" t="s">
        <v>31</v>
      </c>
      <c r="F12" s="39"/>
      <c r="G12" s="37">
        <v>0.2</v>
      </c>
      <c r="H12" s="38">
        <f>F12*0.2</f>
        <v>0</v>
      </c>
      <c r="I12" s="38"/>
      <c r="J12" s="40"/>
      <c r="K12" s="40"/>
      <c r="L12" s="40"/>
      <c r="M12" s="40"/>
      <c r="N12" s="41"/>
      <c r="O12" s="41"/>
      <c r="P12" s="40"/>
      <c r="Q12" s="42"/>
      <c r="R12" s="42"/>
      <c r="S12" s="42"/>
      <c r="T12" s="42"/>
      <c r="U12" s="42"/>
      <c r="V12" s="42">
        <f t="shared" si="0"/>
        <v>0</v>
      </c>
      <c r="W12" s="43" t="e">
        <f t="shared" si="1"/>
        <v>#DIV/0!</v>
      </c>
    </row>
    <row r="13" spans="1:23" ht="63" customHeight="1">
      <c r="A13" s="8" t="s">
        <v>13</v>
      </c>
      <c r="B13" s="7" t="s">
        <v>92</v>
      </c>
      <c r="C13" s="3" t="s">
        <v>20</v>
      </c>
      <c r="D13" s="3" t="s">
        <v>59</v>
      </c>
      <c r="E13" s="48" t="s">
        <v>31</v>
      </c>
      <c r="F13" s="39"/>
      <c r="G13" s="37">
        <v>0.2</v>
      </c>
      <c r="H13" s="38">
        <f>F13*0.2</f>
        <v>0</v>
      </c>
      <c r="I13" s="38"/>
      <c r="J13" s="40"/>
      <c r="K13" s="40"/>
      <c r="L13" s="40"/>
      <c r="M13" s="40"/>
      <c r="N13" s="41"/>
      <c r="O13" s="41"/>
      <c r="P13" s="40"/>
      <c r="Q13" s="42"/>
      <c r="R13" s="42"/>
      <c r="S13" s="42"/>
      <c r="T13" s="42"/>
      <c r="U13" s="42"/>
      <c r="V13" s="42">
        <f t="shared" si="0"/>
        <v>0</v>
      </c>
      <c r="W13" s="43" t="e">
        <f t="shared" si="1"/>
        <v>#DIV/0!</v>
      </c>
    </row>
    <row r="14" spans="1:23" ht="63" customHeight="1">
      <c r="A14" s="9" t="s">
        <v>13</v>
      </c>
      <c r="B14" s="6" t="s">
        <v>107</v>
      </c>
      <c r="C14" s="2" t="s">
        <v>93</v>
      </c>
      <c r="D14" s="2" t="s">
        <v>61</v>
      </c>
      <c r="E14" s="49" t="s">
        <v>60</v>
      </c>
      <c r="F14" s="39"/>
      <c r="G14" s="37">
        <v>1</v>
      </c>
      <c r="H14" s="37">
        <v>1</v>
      </c>
      <c r="I14" s="38"/>
      <c r="J14" s="40"/>
      <c r="K14" s="40"/>
      <c r="L14" s="40"/>
      <c r="M14" s="40"/>
      <c r="N14" s="41"/>
      <c r="O14" s="41"/>
      <c r="P14" s="40"/>
      <c r="Q14" s="42"/>
      <c r="R14" s="42"/>
      <c r="S14" s="42"/>
      <c r="T14" s="42"/>
      <c r="U14" s="42"/>
      <c r="V14" s="42">
        <f t="shared" si="0"/>
        <v>0</v>
      </c>
      <c r="W14" s="43" t="e">
        <f>V14/V13</f>
        <v>#DIV/0!</v>
      </c>
    </row>
    <row r="15" spans="1:23" ht="70.5" customHeight="1">
      <c r="A15" s="19" t="s">
        <v>13</v>
      </c>
      <c r="B15" s="20" t="s">
        <v>95</v>
      </c>
      <c r="C15" s="21" t="s">
        <v>34</v>
      </c>
      <c r="D15" s="21" t="s">
        <v>32</v>
      </c>
      <c r="E15" s="50" t="s">
        <v>33</v>
      </c>
      <c r="F15" s="39"/>
      <c r="G15" s="37">
        <v>1</v>
      </c>
      <c r="H15" s="37">
        <v>1</v>
      </c>
      <c r="I15" s="38"/>
      <c r="J15" s="40"/>
      <c r="K15" s="40"/>
      <c r="L15" s="40"/>
      <c r="M15" s="40"/>
      <c r="N15" s="41"/>
      <c r="O15" s="41"/>
      <c r="P15" s="40"/>
      <c r="Q15" s="42"/>
      <c r="R15" s="42"/>
      <c r="S15" s="42"/>
      <c r="T15" s="42"/>
      <c r="U15" s="42"/>
      <c r="V15" s="42">
        <f t="shared" si="0"/>
        <v>0</v>
      </c>
      <c r="W15" s="43" t="e">
        <f>V15/V14</f>
        <v>#DIV/0!</v>
      </c>
    </row>
    <row r="16" spans="1:23" ht="63.75">
      <c r="A16" s="9" t="s">
        <v>14</v>
      </c>
      <c r="B16" s="6" t="s">
        <v>96</v>
      </c>
      <c r="C16" s="2" t="s">
        <v>64</v>
      </c>
      <c r="D16" s="2" t="s">
        <v>63</v>
      </c>
      <c r="E16" s="49" t="s">
        <v>62</v>
      </c>
      <c r="F16" s="39"/>
      <c r="G16" s="37">
        <v>0.5</v>
      </c>
      <c r="H16" s="38">
        <f>F16*0.5</f>
        <v>0</v>
      </c>
      <c r="I16" s="38"/>
      <c r="J16" s="40"/>
      <c r="K16" s="40"/>
      <c r="L16" s="40"/>
      <c r="M16" s="40"/>
      <c r="N16" s="41"/>
      <c r="O16" s="41"/>
      <c r="P16" s="40"/>
      <c r="Q16" s="42"/>
      <c r="R16" s="42"/>
      <c r="S16" s="42"/>
      <c r="T16" s="42"/>
      <c r="U16" s="42"/>
      <c r="V16" s="42">
        <f t="shared" si="0"/>
        <v>0</v>
      </c>
      <c r="W16" s="43" t="e">
        <f t="shared" si="1"/>
        <v>#DIV/0!</v>
      </c>
    </row>
    <row r="17" spans="1:23" ht="58.5" customHeight="1">
      <c r="A17" s="9" t="s">
        <v>14</v>
      </c>
      <c r="B17" s="6" t="s">
        <v>97</v>
      </c>
      <c r="C17" s="2" t="s">
        <v>67</v>
      </c>
      <c r="D17" s="2" t="s">
        <v>66</v>
      </c>
      <c r="E17" s="49" t="s">
        <v>65</v>
      </c>
      <c r="F17" s="39"/>
      <c r="G17" s="37">
        <v>1</v>
      </c>
      <c r="H17" s="37">
        <v>1</v>
      </c>
      <c r="I17" s="38"/>
      <c r="J17" s="40"/>
      <c r="K17" s="40"/>
      <c r="L17" s="40"/>
      <c r="M17" s="40"/>
      <c r="N17" s="41"/>
      <c r="O17" s="41"/>
      <c r="P17" s="40"/>
      <c r="Q17" s="42"/>
      <c r="R17" s="42"/>
      <c r="S17" s="42"/>
      <c r="T17" s="42"/>
      <c r="U17" s="42"/>
      <c r="V17" s="42">
        <f t="shared" si="0"/>
        <v>0</v>
      </c>
      <c r="W17" s="43" t="e">
        <f>V17/V16</f>
        <v>#DIV/0!</v>
      </c>
    </row>
    <row r="18" spans="1:23" ht="76.5">
      <c r="A18" s="9" t="s">
        <v>14</v>
      </c>
      <c r="B18" s="6" t="s">
        <v>99</v>
      </c>
      <c r="C18" s="2" t="s">
        <v>36</v>
      </c>
      <c r="D18" s="2" t="s">
        <v>68</v>
      </c>
      <c r="E18" s="49" t="s">
        <v>35</v>
      </c>
      <c r="F18" s="39"/>
      <c r="G18" s="37">
        <v>1</v>
      </c>
      <c r="H18" s="37">
        <v>1</v>
      </c>
      <c r="I18" s="38"/>
      <c r="J18" s="40"/>
      <c r="K18" s="40"/>
      <c r="L18" s="40"/>
      <c r="M18" s="40"/>
      <c r="N18" s="41"/>
      <c r="O18" s="41"/>
      <c r="P18" s="40"/>
      <c r="Q18" s="42"/>
      <c r="R18" s="42"/>
      <c r="S18" s="42"/>
      <c r="T18" s="42"/>
      <c r="U18" s="42"/>
      <c r="V18" s="42">
        <f t="shared" si="0"/>
        <v>0</v>
      </c>
      <c r="W18" s="43" t="e">
        <f>V18/V17</f>
        <v>#DIV/0!</v>
      </c>
    </row>
  </sheetData>
  <autoFilter ref="A1:U18" xr:uid="{80110F29-8C79-42F3-A5FB-2E68558C6126}"/>
  <phoneticPr fontId="13" type="noConversion"/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6738-A4EE-4DD9-B098-9AEA26588978}">
  <dimension ref="A3:A25"/>
  <sheetViews>
    <sheetView workbookViewId="0">
      <selection activeCell="F25" sqref="F25"/>
    </sheetView>
  </sheetViews>
  <sheetFormatPr baseColWidth="10" defaultRowHeight="15"/>
  <cols>
    <col min="1" max="1" width="51.85546875" bestFit="1" customWidth="1"/>
    <col min="2" max="2" width="20.28515625" bestFit="1" customWidth="1"/>
  </cols>
  <sheetData>
    <row r="3" spans="1:1">
      <c r="A3" s="34" t="s">
        <v>78</v>
      </c>
    </row>
    <row r="4" spans="1:1">
      <c r="A4" s="35" t="s">
        <v>0</v>
      </c>
    </row>
    <row r="5" spans="1:1">
      <c r="A5" s="36" t="s">
        <v>83</v>
      </c>
    </row>
    <row r="6" spans="1:1">
      <c r="A6" s="36" t="s">
        <v>81</v>
      </c>
    </row>
    <row r="7" spans="1:1">
      <c r="A7" s="36" t="s">
        <v>85</v>
      </c>
    </row>
    <row r="8" spans="1:1">
      <c r="A8" s="36" t="s">
        <v>84</v>
      </c>
    </row>
    <row r="9" spans="1:1">
      <c r="A9" s="36" t="s">
        <v>82</v>
      </c>
    </row>
    <row r="10" spans="1:1">
      <c r="A10" s="35" t="s">
        <v>14</v>
      </c>
    </row>
    <row r="11" spans="1:1">
      <c r="A11" s="36" t="s">
        <v>98</v>
      </c>
    </row>
    <row r="12" spans="1:1">
      <c r="A12" s="36" t="s">
        <v>96</v>
      </c>
    </row>
    <row r="13" spans="1:1">
      <c r="A13" s="36" t="s">
        <v>97</v>
      </c>
    </row>
    <row r="14" spans="1:1">
      <c r="A14" s="35" t="s">
        <v>12</v>
      </c>
    </row>
    <row r="15" spans="1:1">
      <c r="A15" s="36" t="s">
        <v>89</v>
      </c>
    </row>
    <row r="16" spans="1:1">
      <c r="A16" s="36" t="s">
        <v>86</v>
      </c>
    </row>
    <row r="17" spans="1:1">
      <c r="A17" s="36" t="s">
        <v>87</v>
      </c>
    </row>
    <row r="18" spans="1:1">
      <c r="A18" s="36" t="s">
        <v>88</v>
      </c>
    </row>
    <row r="19" spans="1:1">
      <c r="A19" s="35" t="s">
        <v>13</v>
      </c>
    </row>
    <row r="20" spans="1:1">
      <c r="A20" s="36" t="s">
        <v>92</v>
      </c>
    </row>
    <row r="21" spans="1:1">
      <c r="A21" s="36" t="s">
        <v>95</v>
      </c>
    </row>
    <row r="22" spans="1:1">
      <c r="A22" s="36" t="s">
        <v>91</v>
      </c>
    </row>
    <row r="23" spans="1:1">
      <c r="A23" s="36" t="s">
        <v>90</v>
      </c>
    </row>
    <row r="24" spans="1:1">
      <c r="A24" s="36" t="s">
        <v>94</v>
      </c>
    </row>
    <row r="25" spans="1:1">
      <c r="A25" s="35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6A47-834E-4443-8AEE-CD686CCA32E2}">
  <sheetPr>
    <tabColor theme="9" tint="-0.249977111117893"/>
  </sheetPr>
  <dimension ref="A1:H59"/>
  <sheetViews>
    <sheetView workbookViewId="0">
      <selection activeCell="D15" sqref="D15"/>
    </sheetView>
  </sheetViews>
  <sheetFormatPr baseColWidth="10" defaultRowHeight="15"/>
  <cols>
    <col min="1" max="1" width="36" customWidth="1"/>
    <col min="2" max="2" width="19.42578125" customWidth="1"/>
    <col min="8" max="8" width="17.140625" customWidth="1"/>
  </cols>
  <sheetData>
    <row r="1" spans="1:8">
      <c r="A1" s="62" t="s">
        <v>184</v>
      </c>
      <c r="B1" s="62" t="s">
        <v>182</v>
      </c>
      <c r="C1" s="62">
        <v>2021</v>
      </c>
      <c r="D1" s="62">
        <v>2022</v>
      </c>
      <c r="E1" s="62">
        <v>2023</v>
      </c>
      <c r="F1" s="62">
        <v>2024</v>
      </c>
      <c r="G1" s="62">
        <v>2025</v>
      </c>
      <c r="H1" s="62" t="s">
        <v>193</v>
      </c>
    </row>
    <row r="2" spans="1:8">
      <c r="A2" t="s">
        <v>175</v>
      </c>
      <c r="B2" t="s">
        <v>176</v>
      </c>
      <c r="C2" s="55">
        <v>1.6400000000000001E-2</v>
      </c>
      <c r="D2" s="56">
        <v>0.1729</v>
      </c>
      <c r="E2" s="56">
        <v>0.34210000000000002</v>
      </c>
      <c r="F2" s="56">
        <v>0.43569999999999998</v>
      </c>
      <c r="G2" s="56">
        <v>0.48859999999999998</v>
      </c>
    </row>
    <row r="3" spans="1:8">
      <c r="A3" t="s">
        <v>175</v>
      </c>
      <c r="B3" t="s">
        <v>177</v>
      </c>
      <c r="C3" s="55" t="s">
        <v>183</v>
      </c>
      <c r="D3" s="56">
        <v>0.38030000000000003</v>
      </c>
      <c r="E3" s="56">
        <v>0.50870000000000004</v>
      </c>
      <c r="F3" s="56">
        <v>0.41560000000000002</v>
      </c>
      <c r="G3" s="56">
        <v>0.43009999999999998</v>
      </c>
    </row>
    <row r="4" spans="1:8">
      <c r="A4" t="s">
        <v>175</v>
      </c>
      <c r="B4" t="s">
        <v>178</v>
      </c>
      <c r="C4" s="55">
        <v>2.2000000000000001E-3</v>
      </c>
      <c r="D4" s="56">
        <v>8.3299999999999999E-2</v>
      </c>
      <c r="E4" s="56">
        <v>0.25</v>
      </c>
      <c r="F4" s="56">
        <v>0.38429999999999997</v>
      </c>
      <c r="G4" s="56">
        <v>0.5</v>
      </c>
    </row>
    <row r="5" spans="1:8">
      <c r="A5" t="s">
        <v>175</v>
      </c>
      <c r="B5" t="s">
        <v>179</v>
      </c>
      <c r="C5" s="55">
        <v>0</v>
      </c>
      <c r="D5" s="56">
        <v>1.47E-2</v>
      </c>
      <c r="E5" s="56">
        <v>3.6999999999999998E-2</v>
      </c>
      <c r="F5" s="56">
        <v>0.15</v>
      </c>
      <c r="G5" s="56">
        <v>0.45440000000000003</v>
      </c>
    </row>
    <row r="6" spans="1:8">
      <c r="A6" t="s">
        <v>175</v>
      </c>
      <c r="B6" t="s">
        <v>180</v>
      </c>
      <c r="C6" s="55">
        <v>0</v>
      </c>
      <c r="D6" s="56">
        <v>9.4200000000000006E-2</v>
      </c>
      <c r="E6" s="56">
        <v>0.25109999999999999</v>
      </c>
      <c r="F6" s="56">
        <v>0.28789999999999999</v>
      </c>
      <c r="G6" s="56">
        <v>0.3352</v>
      </c>
    </row>
    <row r="7" spans="1:8">
      <c r="A7" t="s">
        <v>175</v>
      </c>
      <c r="B7" t="s">
        <v>181</v>
      </c>
      <c r="C7" s="55">
        <v>4.4999999999999997E-3</v>
      </c>
      <c r="D7" s="56">
        <v>0.1091</v>
      </c>
      <c r="E7" s="56">
        <v>0.24629999999999999</v>
      </c>
      <c r="F7" s="56">
        <v>0.22739999999999999</v>
      </c>
      <c r="G7" s="56">
        <v>0.28129999999999999</v>
      </c>
    </row>
    <row r="8" spans="1:8">
      <c r="A8" t="s">
        <v>175</v>
      </c>
      <c r="B8" t="s">
        <v>185</v>
      </c>
      <c r="C8" s="54">
        <v>4.19E-2</v>
      </c>
      <c r="D8" s="56">
        <v>0.1661</v>
      </c>
      <c r="E8" s="56">
        <v>0.32529999999999998</v>
      </c>
      <c r="F8" s="56">
        <v>0.3448</v>
      </c>
      <c r="G8" s="56">
        <v>0.41449999999999998</v>
      </c>
    </row>
    <row r="9" spans="1:8">
      <c r="A9" t="s">
        <v>186</v>
      </c>
      <c r="B9" t="s">
        <v>176</v>
      </c>
      <c r="C9" s="56">
        <v>0.77010000000000001</v>
      </c>
      <c r="D9" s="56">
        <v>0.68640000000000001</v>
      </c>
      <c r="E9" s="56">
        <v>0.71</v>
      </c>
      <c r="F9" s="56">
        <v>0.76</v>
      </c>
      <c r="G9" s="56">
        <v>0.74629999999999996</v>
      </c>
    </row>
    <row r="10" spans="1:8">
      <c r="A10" t="s">
        <v>186</v>
      </c>
      <c r="B10" t="s">
        <v>177</v>
      </c>
      <c r="C10" s="56">
        <v>0.74480000000000002</v>
      </c>
      <c r="D10" s="56">
        <v>0.6744</v>
      </c>
      <c r="E10" s="56">
        <v>0.71220000000000006</v>
      </c>
      <c r="F10" s="56">
        <v>0.67079999999999995</v>
      </c>
      <c r="G10" s="56">
        <v>0.63049999999999995</v>
      </c>
    </row>
    <row r="11" spans="1:8">
      <c r="A11" t="s">
        <v>186</v>
      </c>
      <c r="B11" t="s">
        <v>178</v>
      </c>
      <c r="C11" s="56">
        <v>0.68420000000000003</v>
      </c>
      <c r="D11" s="56">
        <v>0.64710000000000001</v>
      </c>
      <c r="E11" s="56">
        <v>0.59760000000000002</v>
      </c>
      <c r="F11" s="56">
        <v>0.6885</v>
      </c>
      <c r="G11" s="56">
        <v>0.76029999999999998</v>
      </c>
    </row>
    <row r="12" spans="1:8">
      <c r="A12" t="s">
        <v>186</v>
      </c>
      <c r="B12" t="s">
        <v>179</v>
      </c>
      <c r="C12" s="56">
        <v>0.6875</v>
      </c>
      <c r="D12" s="56">
        <v>0.56140000000000001</v>
      </c>
      <c r="E12" s="56">
        <v>0.56889999999999996</v>
      </c>
      <c r="F12" s="56">
        <v>0.68610000000000004</v>
      </c>
      <c r="G12" s="56">
        <v>0.70199999999999996</v>
      </c>
    </row>
    <row r="13" spans="1:8">
      <c r="A13" t="s">
        <v>186</v>
      </c>
      <c r="B13" t="s">
        <v>180</v>
      </c>
      <c r="C13" s="56">
        <v>0.75</v>
      </c>
      <c r="D13" s="56">
        <v>0.72130000000000005</v>
      </c>
      <c r="E13" s="56">
        <v>0.79600000000000004</v>
      </c>
      <c r="F13" s="56">
        <v>0.77910000000000001</v>
      </c>
      <c r="G13" s="56">
        <v>0.76170000000000004</v>
      </c>
    </row>
    <row r="14" spans="1:8">
      <c r="A14" t="s">
        <v>186</v>
      </c>
      <c r="B14" t="s">
        <v>181</v>
      </c>
      <c r="C14" s="56">
        <v>0.57669999999999999</v>
      </c>
      <c r="D14" s="58">
        <v>0.58799999999999997</v>
      </c>
      <c r="E14" s="56">
        <v>0.59040000000000004</v>
      </c>
      <c r="F14" s="56">
        <v>0.61409999999999998</v>
      </c>
      <c r="G14" s="56">
        <v>0.63670000000000004</v>
      </c>
    </row>
    <row r="15" spans="1:8">
      <c r="A15" t="s">
        <v>186</v>
      </c>
      <c r="B15" t="s">
        <v>185</v>
      </c>
      <c r="C15" s="56">
        <v>0.69879999999999998</v>
      </c>
      <c r="D15" s="58">
        <v>0.65239999999999998</v>
      </c>
      <c r="E15" s="58">
        <v>0.68569999999999998</v>
      </c>
      <c r="F15" s="58">
        <v>0.70889999999999997</v>
      </c>
      <c r="G15" s="58">
        <v>0.69530000000000003</v>
      </c>
    </row>
    <row r="16" spans="1:8">
      <c r="A16" t="s">
        <v>187</v>
      </c>
      <c r="B16" t="s">
        <v>176</v>
      </c>
      <c r="C16" s="56">
        <v>0.76539999999999997</v>
      </c>
      <c r="D16" s="58">
        <v>0.68020000000000003</v>
      </c>
      <c r="E16" s="58">
        <v>0.70569999999999999</v>
      </c>
      <c r="F16" s="58">
        <v>0.75219999999999998</v>
      </c>
      <c r="G16" s="58">
        <v>0.74039999999999995</v>
      </c>
    </row>
    <row r="17" spans="1:7">
      <c r="A17" t="s">
        <v>187</v>
      </c>
      <c r="B17" t="s">
        <v>177</v>
      </c>
      <c r="C17" s="56">
        <v>0.68030000000000002</v>
      </c>
      <c r="D17" s="58">
        <v>0.66839999999999999</v>
      </c>
      <c r="E17" s="58">
        <v>0.69910000000000005</v>
      </c>
      <c r="F17" s="58">
        <v>0.64590000000000003</v>
      </c>
      <c r="G17" s="58">
        <v>0.59240000000000004</v>
      </c>
    </row>
    <row r="18" spans="1:7">
      <c r="A18" t="s">
        <v>187</v>
      </c>
      <c r="B18" t="s">
        <v>178</v>
      </c>
      <c r="C18" s="56">
        <v>0.68430000000000002</v>
      </c>
      <c r="D18" s="58">
        <v>0.64710000000000001</v>
      </c>
      <c r="E18" s="58">
        <v>0.59760000000000002</v>
      </c>
      <c r="F18" s="58">
        <v>0.6885</v>
      </c>
      <c r="G18" s="58">
        <v>0.73</v>
      </c>
    </row>
    <row r="19" spans="1:7">
      <c r="A19" t="s">
        <v>187</v>
      </c>
      <c r="B19" t="s">
        <v>179</v>
      </c>
      <c r="C19" s="56">
        <v>0.67190000000000005</v>
      </c>
      <c r="D19" s="58">
        <v>0.55389999999999995</v>
      </c>
      <c r="E19" s="58">
        <v>0.53290000000000004</v>
      </c>
      <c r="F19" s="58">
        <v>0.62780000000000002</v>
      </c>
      <c r="G19" s="58">
        <v>0.65269999999999995</v>
      </c>
    </row>
    <row r="20" spans="1:7">
      <c r="A20" t="s">
        <v>187</v>
      </c>
      <c r="B20" t="s">
        <v>180</v>
      </c>
      <c r="C20" s="56">
        <v>0.75</v>
      </c>
      <c r="D20" s="58">
        <v>0.72130000000000005</v>
      </c>
      <c r="E20" s="58">
        <v>0.79700000000000004</v>
      </c>
      <c r="F20" s="58">
        <v>0.77910000000000001</v>
      </c>
      <c r="G20" s="58">
        <v>0.76170000000000004</v>
      </c>
    </row>
    <row r="21" spans="1:7">
      <c r="A21" t="s">
        <v>187</v>
      </c>
      <c r="B21" t="s">
        <v>181</v>
      </c>
      <c r="C21" s="56">
        <v>0.65590000000000004</v>
      </c>
      <c r="D21" s="58">
        <v>0.50790000000000002</v>
      </c>
      <c r="E21" s="58">
        <v>0.44579999999999997</v>
      </c>
      <c r="F21" s="58">
        <v>0.32569999999999999</v>
      </c>
      <c r="G21" s="58">
        <v>0.29930000000000001</v>
      </c>
    </row>
    <row r="22" spans="1:7">
      <c r="A22" t="s">
        <v>187</v>
      </c>
      <c r="B22" t="s">
        <v>185</v>
      </c>
      <c r="C22" s="56">
        <v>0.69679999999999997</v>
      </c>
      <c r="D22" s="58">
        <v>0.64490000000000003</v>
      </c>
      <c r="E22" s="58">
        <v>0.66449999999999998</v>
      </c>
      <c r="F22" s="58">
        <v>0.67210000000000003</v>
      </c>
      <c r="G22" s="58">
        <v>0.64710000000000001</v>
      </c>
    </row>
    <row r="23" spans="1:7">
      <c r="A23" t="s">
        <v>188</v>
      </c>
      <c r="B23" t="s">
        <v>176</v>
      </c>
      <c r="C23" s="56">
        <v>1.04E-2</v>
      </c>
      <c r="D23" s="56">
        <v>2.8299999999999999E-2</v>
      </c>
      <c r="E23" s="56">
        <v>3.2899999999999999E-2</v>
      </c>
      <c r="F23" s="56">
        <v>6.3E-2</v>
      </c>
      <c r="G23" s="56">
        <v>8.4500000000000006E-2</v>
      </c>
    </row>
    <row r="24" spans="1:7">
      <c r="A24" t="s">
        <v>188</v>
      </c>
      <c r="B24" t="s">
        <v>177</v>
      </c>
      <c r="C24" s="56">
        <v>1.7299999999999999E-2</v>
      </c>
      <c r="D24" s="56">
        <v>3.8800000000000001E-2</v>
      </c>
      <c r="E24" s="56">
        <v>6.4899999999999999E-2</v>
      </c>
      <c r="F24" s="56">
        <v>9.0999999999999998E-2</v>
      </c>
      <c r="G24" s="56">
        <v>0.12477000000000001</v>
      </c>
    </row>
    <row r="25" spans="1:7">
      <c r="A25" t="s">
        <v>188</v>
      </c>
      <c r="B25" t="s">
        <v>178</v>
      </c>
      <c r="C25" s="56">
        <v>0</v>
      </c>
      <c r="D25" s="56">
        <v>2.53E-2</v>
      </c>
      <c r="E25" s="56">
        <v>6.0000000000000001E-3</v>
      </c>
      <c r="F25" s="56">
        <v>0.02</v>
      </c>
      <c r="G25" s="56">
        <v>0.2278</v>
      </c>
    </row>
    <row r="26" spans="1:7">
      <c r="A26" t="s">
        <v>188</v>
      </c>
      <c r="B26" t="s">
        <v>179</v>
      </c>
      <c r="C26" s="56">
        <v>4.5499999999999999E-2</v>
      </c>
      <c r="D26" s="56">
        <v>6.9599999999999995E-2</v>
      </c>
      <c r="E26" s="56">
        <v>9.5600000000000004E-2</v>
      </c>
      <c r="F26" s="56">
        <v>0.15340000000000001</v>
      </c>
      <c r="G26" s="56">
        <v>0.18410000000000001</v>
      </c>
    </row>
    <row r="27" spans="1:7">
      <c r="A27" t="s">
        <v>188</v>
      </c>
      <c r="B27" t="s">
        <v>180</v>
      </c>
      <c r="C27" s="56">
        <v>0</v>
      </c>
      <c r="D27" s="56">
        <v>0</v>
      </c>
      <c r="E27" s="56">
        <v>0</v>
      </c>
      <c r="F27" s="56">
        <v>0</v>
      </c>
      <c r="G27" s="56">
        <v>0</v>
      </c>
    </row>
    <row r="28" spans="1:7">
      <c r="A28" t="s">
        <v>188</v>
      </c>
      <c r="B28" t="s">
        <v>181</v>
      </c>
      <c r="C28" s="56">
        <v>1.1900000000000001E-2</v>
      </c>
      <c r="D28" s="56">
        <v>9.8100000000000007E-2</v>
      </c>
      <c r="E28" s="56">
        <v>0.28810000000000002</v>
      </c>
      <c r="F28" s="56">
        <v>0.47010000000000002</v>
      </c>
      <c r="G28" s="56">
        <v>0.52149999999999996</v>
      </c>
    </row>
    <row r="29" spans="1:7">
      <c r="A29" t="s">
        <v>188</v>
      </c>
      <c r="B29" t="s">
        <v>185</v>
      </c>
      <c r="C29" s="56">
        <v>8.6999999999999994E-3</v>
      </c>
      <c r="D29" s="56">
        <v>2.9000000000000001E-2</v>
      </c>
      <c r="E29" s="56">
        <v>6.7000000000000004E-2</v>
      </c>
      <c r="F29" s="56">
        <v>9.9199999999999997E-2</v>
      </c>
      <c r="G29" s="56">
        <v>0.13189999999999999</v>
      </c>
    </row>
    <row r="30" spans="1:7">
      <c r="A30" t="s">
        <v>189</v>
      </c>
      <c r="B30" t="s">
        <v>176</v>
      </c>
      <c r="C30" s="56">
        <v>0.35239999999999999</v>
      </c>
      <c r="D30" s="56">
        <v>0.33329999999999999</v>
      </c>
      <c r="E30" s="56">
        <v>0.51280000000000003</v>
      </c>
      <c r="F30" s="56">
        <v>0.53779999999999994</v>
      </c>
      <c r="G30" s="56">
        <v>0.5141</v>
      </c>
    </row>
    <row r="31" spans="1:7">
      <c r="A31" t="s">
        <v>189</v>
      </c>
      <c r="B31" t="s">
        <v>177</v>
      </c>
      <c r="C31" s="56">
        <v>0.52680000000000005</v>
      </c>
      <c r="D31" s="56">
        <v>0.6502</v>
      </c>
      <c r="E31" s="56">
        <v>0.71109999999999995</v>
      </c>
      <c r="F31" s="56">
        <v>0.60060000000000002</v>
      </c>
      <c r="G31" s="56">
        <v>0.58589999999999998</v>
      </c>
    </row>
    <row r="32" spans="1:7">
      <c r="A32" t="s">
        <v>189</v>
      </c>
      <c r="B32" t="s">
        <v>178</v>
      </c>
      <c r="C32" s="56">
        <v>0.20480000000000001</v>
      </c>
      <c r="D32" s="56">
        <v>0.4375</v>
      </c>
      <c r="E32" s="56">
        <v>0.51719999999999999</v>
      </c>
      <c r="F32" s="56">
        <v>0.40229999999999999</v>
      </c>
      <c r="G32" s="56">
        <v>0.5857</v>
      </c>
    </row>
    <row r="33" spans="1:7">
      <c r="A33" t="s">
        <v>189</v>
      </c>
      <c r="B33" t="s">
        <v>179</v>
      </c>
      <c r="C33" s="56">
        <v>7.8399999999999997E-2</v>
      </c>
      <c r="D33" s="56">
        <v>0.1923</v>
      </c>
      <c r="E33" s="56">
        <v>0.43240000000000001</v>
      </c>
      <c r="F33" s="56">
        <v>0.63160000000000005</v>
      </c>
      <c r="G33" s="56">
        <v>0.50239999999999996</v>
      </c>
    </row>
    <row r="34" spans="1:7">
      <c r="A34" t="s">
        <v>189</v>
      </c>
      <c r="B34" t="s">
        <v>180</v>
      </c>
      <c r="C34" s="56">
        <v>6.9000000000000006E-2</v>
      </c>
      <c r="D34" s="56">
        <v>0.3962</v>
      </c>
      <c r="E34" s="56">
        <v>0.5</v>
      </c>
      <c r="F34" s="56">
        <v>0.46</v>
      </c>
      <c r="G34" s="56">
        <v>0.45450000000000002</v>
      </c>
    </row>
    <row r="35" spans="1:7">
      <c r="A35" t="s">
        <v>189</v>
      </c>
      <c r="B35" t="s">
        <v>181</v>
      </c>
      <c r="C35" s="56">
        <v>0.25109999999999999</v>
      </c>
      <c r="D35" s="56">
        <v>0.25340000000000001</v>
      </c>
      <c r="E35" s="56">
        <v>0.49080000000000001</v>
      </c>
      <c r="F35" s="56">
        <v>0.4874</v>
      </c>
      <c r="G35" s="56">
        <v>0.40629999999999999</v>
      </c>
    </row>
    <row r="36" spans="1:7">
      <c r="A36" t="s">
        <v>189</v>
      </c>
      <c r="B36" t="s">
        <v>185</v>
      </c>
      <c r="C36" s="56">
        <v>0.32740000000000002</v>
      </c>
      <c r="D36" s="56">
        <v>0.42359999999999998</v>
      </c>
      <c r="E36" s="56">
        <v>0.53410000000000002</v>
      </c>
      <c r="F36" s="56">
        <v>0.51329999999999998</v>
      </c>
      <c r="G36" s="56">
        <v>0.52990000000000004</v>
      </c>
    </row>
    <row r="37" spans="1:7">
      <c r="A37" t="s">
        <v>190</v>
      </c>
      <c r="B37" t="s">
        <v>176</v>
      </c>
      <c r="C37" s="56">
        <v>0.1186</v>
      </c>
      <c r="D37" s="56">
        <v>4.9000000000000002E-2</v>
      </c>
      <c r="E37" s="56">
        <v>0.18870000000000001</v>
      </c>
      <c r="F37" s="56">
        <v>0.26279999999999998</v>
      </c>
      <c r="G37" s="56">
        <v>0.32319999999999999</v>
      </c>
    </row>
    <row r="38" spans="1:7">
      <c r="A38" t="s">
        <v>190</v>
      </c>
      <c r="B38" t="s">
        <v>177</v>
      </c>
      <c r="C38" s="56">
        <v>0.1358</v>
      </c>
      <c r="D38" s="56">
        <v>3.3099999999999997E-2</v>
      </c>
      <c r="E38" s="56">
        <v>0.13100000000000001</v>
      </c>
      <c r="F38" s="56">
        <v>0.28349999999999997</v>
      </c>
      <c r="G38" s="56">
        <v>0.37690000000000001</v>
      </c>
    </row>
    <row r="39" spans="1:7">
      <c r="A39" t="s">
        <v>190</v>
      </c>
      <c r="B39" t="s">
        <v>178</v>
      </c>
      <c r="C39" s="56">
        <v>0.11269999999999999</v>
      </c>
      <c r="D39" s="56">
        <v>0.10340000000000001</v>
      </c>
      <c r="E39" s="56">
        <v>0.1057</v>
      </c>
      <c r="F39" s="56">
        <v>9.5200000000000007E-2</v>
      </c>
      <c r="G39" s="56">
        <v>0.20069999999999999</v>
      </c>
    </row>
    <row r="40" spans="1:7">
      <c r="A40" t="s">
        <v>190</v>
      </c>
      <c r="B40" t="s">
        <v>179</v>
      </c>
      <c r="C40" s="56">
        <v>0.1832</v>
      </c>
      <c r="D40" s="56">
        <v>7.4099999999999999E-2</v>
      </c>
      <c r="E40" s="56">
        <v>0.1429</v>
      </c>
      <c r="F40" s="56">
        <v>0.15939999999999999</v>
      </c>
      <c r="G40" s="56">
        <v>0.2029</v>
      </c>
    </row>
    <row r="41" spans="1:7">
      <c r="A41" t="s">
        <v>190</v>
      </c>
      <c r="B41" t="s">
        <v>180</v>
      </c>
      <c r="C41" s="56">
        <v>0.12429999999999999</v>
      </c>
      <c r="D41" s="56">
        <v>0.12089999999999999</v>
      </c>
      <c r="E41" s="56">
        <v>0.129</v>
      </c>
      <c r="F41" s="56">
        <v>0.1429</v>
      </c>
      <c r="G41" s="56">
        <v>0.16900000000000001</v>
      </c>
    </row>
    <row r="42" spans="1:7">
      <c r="A42" t="s">
        <v>190</v>
      </c>
      <c r="B42" t="s">
        <v>181</v>
      </c>
      <c r="C42" s="56">
        <v>0.09</v>
      </c>
      <c r="D42" s="56">
        <v>0.15129999999999999</v>
      </c>
      <c r="E42" s="56">
        <v>0.15570000000000001</v>
      </c>
      <c r="F42" s="56">
        <v>0.1467</v>
      </c>
      <c r="G42" s="56">
        <v>0.15049999999999999</v>
      </c>
    </row>
    <row r="43" spans="1:7">
      <c r="A43" t="s">
        <v>190</v>
      </c>
      <c r="B43" t="s">
        <v>185</v>
      </c>
      <c r="C43" s="56">
        <v>8.8599999999999998E-2</v>
      </c>
      <c r="D43" s="56">
        <v>4.3900000000000002E-2</v>
      </c>
      <c r="E43" s="56">
        <v>0.1037</v>
      </c>
      <c r="F43" s="56">
        <v>0.1883</v>
      </c>
      <c r="G43" s="56">
        <v>0.28720000000000001</v>
      </c>
    </row>
    <row r="44" spans="1:7">
      <c r="A44" t="s">
        <v>191</v>
      </c>
      <c r="B44" t="s">
        <v>176</v>
      </c>
      <c r="C44" s="56">
        <v>0.3019</v>
      </c>
      <c r="D44" s="56">
        <v>0.46800000000000003</v>
      </c>
      <c r="E44" s="56">
        <v>0.502</v>
      </c>
      <c r="F44" s="56">
        <v>0.54169999999999996</v>
      </c>
      <c r="G44" s="56">
        <v>0.54420000000000002</v>
      </c>
    </row>
    <row r="45" spans="1:7">
      <c r="A45" t="s">
        <v>191</v>
      </c>
      <c r="B45" t="s">
        <v>177</v>
      </c>
      <c r="C45" s="56">
        <v>0.1535</v>
      </c>
      <c r="D45" s="56">
        <v>0.34899999999999998</v>
      </c>
      <c r="E45" s="56">
        <v>0.4521</v>
      </c>
      <c r="F45" s="56">
        <v>0.50290000000000001</v>
      </c>
      <c r="G45" s="56">
        <v>0.55889999999999995</v>
      </c>
    </row>
    <row r="46" spans="1:7">
      <c r="A46" t="s">
        <v>191</v>
      </c>
      <c r="B46" t="s">
        <v>178</v>
      </c>
      <c r="C46" s="56">
        <v>0</v>
      </c>
      <c r="D46" s="56">
        <v>0.27589999999999998</v>
      </c>
      <c r="E46" s="56">
        <v>0.25</v>
      </c>
      <c r="F46" s="56">
        <v>0.23810000000000001</v>
      </c>
      <c r="G46" s="56">
        <v>0.48799999999999999</v>
      </c>
    </row>
    <row r="47" spans="1:7">
      <c r="A47" t="s">
        <v>191</v>
      </c>
      <c r="B47" t="s">
        <v>179</v>
      </c>
      <c r="C47" s="56">
        <v>0.17649999999999999</v>
      </c>
      <c r="D47" s="56">
        <v>0.25929999999999997</v>
      </c>
      <c r="E47" s="56">
        <v>0.42859999999999998</v>
      </c>
      <c r="F47" s="56">
        <v>0.49280000000000002</v>
      </c>
      <c r="G47" s="56">
        <v>0.62860000000000005</v>
      </c>
    </row>
    <row r="48" spans="1:7">
      <c r="A48" t="s">
        <v>191</v>
      </c>
      <c r="B48" t="s">
        <v>180</v>
      </c>
      <c r="C48" s="56">
        <v>0</v>
      </c>
      <c r="D48" s="56">
        <v>0.2747</v>
      </c>
      <c r="E48" s="56">
        <v>0.27960000000000002</v>
      </c>
      <c r="F48" s="56">
        <v>0.2727</v>
      </c>
      <c r="G48" s="56">
        <v>0.19719999999999999</v>
      </c>
    </row>
    <row r="49" spans="1:7">
      <c r="A49" t="s">
        <v>191</v>
      </c>
      <c r="B49" t="s">
        <v>181</v>
      </c>
      <c r="C49" s="56">
        <v>0.2757</v>
      </c>
      <c r="D49" s="56">
        <v>0.46079999999999999</v>
      </c>
      <c r="E49" s="56">
        <v>0.5</v>
      </c>
      <c r="F49" s="56">
        <v>0.49430000000000002</v>
      </c>
      <c r="G49" s="56">
        <v>0.49930000000000002</v>
      </c>
    </row>
    <row r="50" spans="1:7">
      <c r="A50" t="s">
        <v>191</v>
      </c>
      <c r="B50" t="s">
        <v>185</v>
      </c>
      <c r="C50" s="56">
        <v>0.2243</v>
      </c>
      <c r="D50" s="56">
        <v>0.36380000000000001</v>
      </c>
      <c r="E50" s="56">
        <v>0.41870000000000002</v>
      </c>
      <c r="F50" s="56">
        <v>0.44879999999999998</v>
      </c>
      <c r="G50" s="56">
        <v>0.47089999999999999</v>
      </c>
    </row>
    <row r="51" spans="1:7">
      <c r="A51" t="s">
        <v>192</v>
      </c>
      <c r="B51" t="s">
        <v>176</v>
      </c>
      <c r="C51" s="56">
        <v>6.9999999999999999E-4</v>
      </c>
      <c r="D51" s="56">
        <v>5.9799999999999999E-2</v>
      </c>
      <c r="E51" s="56">
        <v>0.2024</v>
      </c>
      <c r="F51" s="56">
        <v>0.33289999999999997</v>
      </c>
      <c r="G51" s="56">
        <v>0.48870000000000002</v>
      </c>
    </row>
    <row r="52" spans="1:7">
      <c r="A52" t="s">
        <v>192</v>
      </c>
      <c r="B52" t="s">
        <v>177</v>
      </c>
      <c r="C52" s="56">
        <v>5.8999999999999999E-3</v>
      </c>
      <c r="D52" s="56">
        <v>4.0099999999999997E-2</v>
      </c>
      <c r="E52" s="56">
        <v>0.18340000000000001</v>
      </c>
      <c r="F52" s="56">
        <v>0.38</v>
      </c>
      <c r="G52" s="56">
        <v>0.49740000000000001</v>
      </c>
    </row>
    <row r="53" spans="1:7">
      <c r="A53" t="s">
        <v>192</v>
      </c>
      <c r="B53" t="s">
        <v>178</v>
      </c>
      <c r="C53" s="56">
        <v>0</v>
      </c>
      <c r="D53" s="56">
        <v>0.10340000000000001</v>
      </c>
      <c r="E53" s="56">
        <v>0.1429</v>
      </c>
      <c r="F53" s="56">
        <v>0.1905</v>
      </c>
      <c r="G53" s="56">
        <v>0.3574</v>
      </c>
    </row>
    <row r="54" spans="1:7">
      <c r="A54" t="s">
        <v>192</v>
      </c>
      <c r="B54" t="s">
        <v>179</v>
      </c>
      <c r="C54" s="56">
        <v>0</v>
      </c>
      <c r="D54" s="56">
        <v>7.4099999999999999E-2</v>
      </c>
      <c r="E54" s="56">
        <v>0.1429</v>
      </c>
      <c r="F54" s="56">
        <v>0.2029</v>
      </c>
      <c r="G54" s="56">
        <v>0.24399999999999999</v>
      </c>
    </row>
    <row r="55" spans="1:7">
      <c r="A55" t="s">
        <v>192</v>
      </c>
      <c r="B55" t="s">
        <v>180</v>
      </c>
      <c r="C55" s="56">
        <v>0</v>
      </c>
      <c r="D55" s="56">
        <v>0.1429</v>
      </c>
      <c r="E55" s="56">
        <v>0.129</v>
      </c>
      <c r="F55" s="56">
        <v>0.16880000000000001</v>
      </c>
      <c r="G55" s="56">
        <v>0.2944</v>
      </c>
    </row>
    <row r="56" spans="1:7">
      <c r="A56" t="s">
        <v>192</v>
      </c>
      <c r="B56" t="s">
        <v>181</v>
      </c>
      <c r="C56" s="56">
        <v>3.4299999999999997E-2</v>
      </c>
      <c r="D56" s="56">
        <v>0.2077</v>
      </c>
      <c r="E56" s="56">
        <v>0.2172</v>
      </c>
      <c r="F56" s="56">
        <v>0.21510000000000001</v>
      </c>
      <c r="G56" s="56">
        <v>0.2152</v>
      </c>
    </row>
    <row r="57" spans="1:7">
      <c r="A57" t="s">
        <v>192</v>
      </c>
      <c r="B57" t="s">
        <v>185</v>
      </c>
      <c r="C57" s="56">
        <v>1.78E-2</v>
      </c>
      <c r="D57" s="56">
        <v>5.7299999999999997E-2</v>
      </c>
      <c r="E57" s="56">
        <v>0.1391</v>
      </c>
      <c r="F57" s="56">
        <v>0.26750000000000002</v>
      </c>
      <c r="G57" s="56">
        <v>0.4551</v>
      </c>
    </row>
    <row r="58" spans="1:7">
      <c r="C58" s="56"/>
      <c r="D58" s="56"/>
      <c r="E58" s="56"/>
      <c r="F58" s="56"/>
      <c r="G58" s="56"/>
    </row>
    <row r="59" spans="1:7">
      <c r="C59" s="56"/>
      <c r="D59" s="56"/>
      <c r="E59" s="56"/>
      <c r="F59" s="56"/>
      <c r="G59" s="5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8613062-9367-4C6B-A0E7-0C205D7F91A7}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'cumplimiento 5 años'!C2:G2</xm:f>
              <xm:sqref>H2</xm:sqref>
            </x14:sparkline>
            <x14:sparkline>
              <xm:f>'cumplimiento 5 años'!C3:G3</xm:f>
              <xm:sqref>H3</xm:sqref>
            </x14:sparkline>
            <x14:sparkline>
              <xm:f>'cumplimiento 5 años'!C4:G4</xm:f>
              <xm:sqref>H4</xm:sqref>
            </x14:sparkline>
            <x14:sparkline>
              <xm:f>'cumplimiento 5 años'!C5:G5</xm:f>
              <xm:sqref>H5</xm:sqref>
            </x14:sparkline>
            <x14:sparkline>
              <xm:f>'cumplimiento 5 años'!C6:G6</xm:f>
              <xm:sqref>H6</xm:sqref>
            </x14:sparkline>
            <x14:sparkline>
              <xm:f>'cumplimiento 5 años'!C7:G7</xm:f>
              <xm:sqref>H7</xm:sqref>
            </x14:sparkline>
            <x14:sparkline>
              <xm:f>'cumplimiento 5 años'!C8:G8</xm:f>
              <xm:sqref>H8</xm:sqref>
            </x14:sparkline>
            <x14:sparkline>
              <xm:f>'cumplimiento 5 años'!C9:G9</xm:f>
              <xm:sqref>H9</xm:sqref>
            </x14:sparkline>
            <x14:sparkline>
              <xm:f>'cumplimiento 5 años'!C10:G10</xm:f>
              <xm:sqref>H10</xm:sqref>
            </x14:sparkline>
            <x14:sparkline>
              <xm:f>'cumplimiento 5 años'!C11:G11</xm:f>
              <xm:sqref>H11</xm:sqref>
            </x14:sparkline>
            <x14:sparkline>
              <xm:f>'cumplimiento 5 años'!C12:G12</xm:f>
              <xm:sqref>H12</xm:sqref>
            </x14:sparkline>
            <x14:sparkline>
              <xm:f>'cumplimiento 5 años'!C13:G13</xm:f>
              <xm:sqref>H13</xm:sqref>
            </x14:sparkline>
            <x14:sparkline>
              <xm:f>'cumplimiento 5 años'!C14:G14</xm:f>
              <xm:sqref>H14</xm:sqref>
            </x14:sparkline>
            <x14:sparkline>
              <xm:f>'cumplimiento 5 años'!C15:G15</xm:f>
              <xm:sqref>H15</xm:sqref>
            </x14:sparkline>
            <x14:sparkline>
              <xm:f>'cumplimiento 5 años'!C16:G16</xm:f>
              <xm:sqref>H16</xm:sqref>
            </x14:sparkline>
            <x14:sparkline>
              <xm:f>'cumplimiento 5 años'!C17:G17</xm:f>
              <xm:sqref>H17</xm:sqref>
            </x14:sparkline>
            <x14:sparkline>
              <xm:f>'cumplimiento 5 años'!C18:G18</xm:f>
              <xm:sqref>H18</xm:sqref>
            </x14:sparkline>
            <x14:sparkline>
              <xm:f>'cumplimiento 5 años'!C19:G19</xm:f>
              <xm:sqref>H19</xm:sqref>
            </x14:sparkline>
            <x14:sparkline>
              <xm:f>'cumplimiento 5 años'!C20:G20</xm:f>
              <xm:sqref>H20</xm:sqref>
            </x14:sparkline>
            <x14:sparkline>
              <xm:f>'cumplimiento 5 años'!C21:G21</xm:f>
              <xm:sqref>H21</xm:sqref>
            </x14:sparkline>
            <x14:sparkline>
              <xm:f>'cumplimiento 5 años'!C22:G22</xm:f>
              <xm:sqref>H22</xm:sqref>
            </x14:sparkline>
            <x14:sparkline>
              <xm:f>'cumplimiento 5 años'!C23:G23</xm:f>
              <xm:sqref>H23</xm:sqref>
            </x14:sparkline>
            <x14:sparkline>
              <xm:f>'cumplimiento 5 años'!C24:G24</xm:f>
              <xm:sqref>H24</xm:sqref>
            </x14:sparkline>
            <x14:sparkline>
              <xm:f>'cumplimiento 5 años'!C25:G25</xm:f>
              <xm:sqref>H25</xm:sqref>
            </x14:sparkline>
            <x14:sparkline>
              <xm:f>'cumplimiento 5 años'!C26:G26</xm:f>
              <xm:sqref>H26</xm:sqref>
            </x14:sparkline>
            <x14:sparkline>
              <xm:f>'cumplimiento 5 años'!C27:G27</xm:f>
              <xm:sqref>H27</xm:sqref>
            </x14:sparkline>
            <x14:sparkline>
              <xm:f>'cumplimiento 5 años'!C28:G28</xm:f>
              <xm:sqref>H28</xm:sqref>
            </x14:sparkline>
            <x14:sparkline>
              <xm:f>'cumplimiento 5 años'!C29:G29</xm:f>
              <xm:sqref>H29</xm:sqref>
            </x14:sparkline>
            <x14:sparkline>
              <xm:f>'cumplimiento 5 años'!C30:G30</xm:f>
              <xm:sqref>H30</xm:sqref>
            </x14:sparkline>
            <x14:sparkline>
              <xm:f>'cumplimiento 5 años'!C31:G31</xm:f>
              <xm:sqref>H31</xm:sqref>
            </x14:sparkline>
            <x14:sparkline>
              <xm:f>'cumplimiento 5 años'!C32:G32</xm:f>
              <xm:sqref>H32</xm:sqref>
            </x14:sparkline>
            <x14:sparkline>
              <xm:f>'cumplimiento 5 años'!C33:G33</xm:f>
              <xm:sqref>H33</xm:sqref>
            </x14:sparkline>
            <x14:sparkline>
              <xm:f>'cumplimiento 5 años'!C34:G34</xm:f>
              <xm:sqref>H34</xm:sqref>
            </x14:sparkline>
            <x14:sparkline>
              <xm:f>'cumplimiento 5 años'!C35:G35</xm:f>
              <xm:sqref>H35</xm:sqref>
            </x14:sparkline>
            <x14:sparkline>
              <xm:f>'cumplimiento 5 años'!C36:G36</xm:f>
              <xm:sqref>H36</xm:sqref>
            </x14:sparkline>
            <x14:sparkline>
              <xm:f>'cumplimiento 5 años'!C37:G37</xm:f>
              <xm:sqref>H37</xm:sqref>
            </x14:sparkline>
            <x14:sparkline>
              <xm:f>'cumplimiento 5 años'!C38:G38</xm:f>
              <xm:sqref>H38</xm:sqref>
            </x14:sparkline>
            <x14:sparkline>
              <xm:f>'cumplimiento 5 años'!C39:G39</xm:f>
              <xm:sqref>H39</xm:sqref>
            </x14:sparkline>
            <x14:sparkline>
              <xm:f>'cumplimiento 5 años'!C40:G40</xm:f>
              <xm:sqref>H40</xm:sqref>
            </x14:sparkline>
            <x14:sparkline>
              <xm:f>'cumplimiento 5 años'!C41:G41</xm:f>
              <xm:sqref>H41</xm:sqref>
            </x14:sparkline>
            <x14:sparkline>
              <xm:f>'cumplimiento 5 años'!C42:G42</xm:f>
              <xm:sqref>H42</xm:sqref>
            </x14:sparkline>
            <x14:sparkline>
              <xm:f>'cumplimiento 5 años'!C43:G43</xm:f>
              <xm:sqref>H43</xm:sqref>
            </x14:sparkline>
            <x14:sparkline>
              <xm:f>'cumplimiento 5 años'!C44:G44</xm:f>
              <xm:sqref>H44</xm:sqref>
            </x14:sparkline>
            <x14:sparkline>
              <xm:f>'cumplimiento 5 años'!C45:G45</xm:f>
              <xm:sqref>H45</xm:sqref>
            </x14:sparkline>
            <x14:sparkline>
              <xm:f>'cumplimiento 5 años'!C46:G46</xm:f>
              <xm:sqref>H46</xm:sqref>
            </x14:sparkline>
            <x14:sparkline>
              <xm:f>'cumplimiento 5 años'!C47:G47</xm:f>
              <xm:sqref>H47</xm:sqref>
            </x14:sparkline>
            <x14:sparkline>
              <xm:f>'cumplimiento 5 años'!C48:G48</xm:f>
              <xm:sqref>H48</xm:sqref>
            </x14:sparkline>
            <x14:sparkline>
              <xm:f>'cumplimiento 5 años'!C49:G49</xm:f>
              <xm:sqref>H49</xm:sqref>
            </x14:sparkline>
            <x14:sparkline>
              <xm:f>'cumplimiento 5 años'!C50:G50</xm:f>
              <xm:sqref>H50</xm:sqref>
            </x14:sparkline>
            <x14:sparkline>
              <xm:f>'cumplimiento 5 años'!C51:G51</xm:f>
              <xm:sqref>H51</xm:sqref>
            </x14:sparkline>
            <x14:sparkline>
              <xm:f>'cumplimiento 5 años'!C52:G52</xm:f>
              <xm:sqref>H52</xm:sqref>
            </x14:sparkline>
            <x14:sparkline>
              <xm:f>'cumplimiento 5 años'!C53:G53</xm:f>
              <xm:sqref>H53</xm:sqref>
            </x14:sparkline>
            <x14:sparkline>
              <xm:f>'cumplimiento 5 años'!C54:G54</xm:f>
              <xm:sqref>H54</xm:sqref>
            </x14:sparkline>
            <x14:sparkline>
              <xm:f>'cumplimiento 5 años'!C55:G55</xm:f>
              <xm:sqref>H55</xm:sqref>
            </x14:sparkline>
            <x14:sparkline>
              <xm:f>'cumplimiento 5 años'!C56:G56</xm:f>
              <xm:sqref>H56</xm:sqref>
            </x14:sparkline>
            <x14:sparkline>
              <xm:f>'cumplimiento 5 años'!C57:G57</xm:f>
              <xm:sqref>H57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6189-071D-48EA-910F-83A5F16601AE}">
  <dimension ref="A1:D18"/>
  <sheetViews>
    <sheetView workbookViewId="0">
      <selection activeCell="H14" sqref="H14"/>
    </sheetView>
  </sheetViews>
  <sheetFormatPr baseColWidth="10" defaultRowHeight="15"/>
  <cols>
    <col min="1" max="1" width="18.5703125" customWidth="1"/>
  </cols>
  <sheetData>
    <row r="1" spans="1:4">
      <c r="A1" s="75" t="s">
        <v>201</v>
      </c>
      <c r="B1" s="75"/>
      <c r="C1" s="75"/>
      <c r="D1" s="75"/>
    </row>
    <row r="2" spans="1:4">
      <c r="A2" s="71" t="s">
        <v>199</v>
      </c>
      <c r="B2" s="71" t="s">
        <v>194</v>
      </c>
      <c r="C2" s="71" t="s">
        <v>195</v>
      </c>
      <c r="D2" s="71" t="s">
        <v>196</v>
      </c>
    </row>
    <row r="3" spans="1:4">
      <c r="A3" s="68" t="s">
        <v>39</v>
      </c>
      <c r="B3" s="40">
        <v>77</v>
      </c>
      <c r="C3" s="40">
        <v>70</v>
      </c>
      <c r="D3" s="69"/>
    </row>
    <row r="4" spans="1:4">
      <c r="A4" s="68" t="s">
        <v>40</v>
      </c>
      <c r="B4" s="40">
        <v>142</v>
      </c>
      <c r="C4" s="40">
        <v>138</v>
      </c>
      <c r="D4" s="40">
        <v>175</v>
      </c>
    </row>
    <row r="5" spans="1:4">
      <c r="A5" s="68" t="s">
        <v>41</v>
      </c>
      <c r="B5" s="40">
        <v>14</v>
      </c>
      <c r="C5" s="40">
        <v>9</v>
      </c>
      <c r="D5" s="40">
        <v>10</v>
      </c>
    </row>
    <row r="6" spans="1:4">
      <c r="A6" s="68" t="s">
        <v>42</v>
      </c>
      <c r="B6" s="40">
        <v>4</v>
      </c>
      <c r="C6" s="40">
        <v>9</v>
      </c>
      <c r="D6" s="40"/>
    </row>
    <row r="7" spans="1:4">
      <c r="A7" s="68" t="s">
        <v>197</v>
      </c>
      <c r="B7" s="40">
        <v>93</v>
      </c>
      <c r="C7" s="40">
        <v>34</v>
      </c>
      <c r="D7" s="40">
        <v>39</v>
      </c>
    </row>
    <row r="8" spans="1:4">
      <c r="A8" s="68" t="s">
        <v>198</v>
      </c>
      <c r="B8" s="40">
        <v>2</v>
      </c>
      <c r="C8" s="40">
        <v>6</v>
      </c>
      <c r="D8" s="40">
        <v>8</v>
      </c>
    </row>
    <row r="11" spans="1:4">
      <c r="A11" s="76" t="s">
        <v>202</v>
      </c>
      <c r="B11" s="76"/>
      <c r="C11" s="76"/>
      <c r="D11" s="76"/>
    </row>
    <row r="12" spans="1:4">
      <c r="A12" s="72" t="s">
        <v>182</v>
      </c>
      <c r="B12" s="71" t="s">
        <v>194</v>
      </c>
      <c r="C12" s="71" t="s">
        <v>195</v>
      </c>
      <c r="D12" s="71" t="s">
        <v>196</v>
      </c>
    </row>
    <row r="13" spans="1:4">
      <c r="A13" s="68" t="s">
        <v>39</v>
      </c>
      <c r="B13" s="40">
        <v>235</v>
      </c>
      <c r="C13" s="40">
        <v>304</v>
      </c>
      <c r="D13" s="69"/>
    </row>
    <row r="14" spans="1:4">
      <c r="A14" s="68" t="s">
        <v>40</v>
      </c>
      <c r="B14" s="40">
        <v>74</v>
      </c>
      <c r="C14" s="40">
        <v>78</v>
      </c>
      <c r="D14" s="40">
        <v>128</v>
      </c>
    </row>
    <row r="15" spans="1:4">
      <c r="A15" s="68" t="s">
        <v>41</v>
      </c>
      <c r="B15" s="40">
        <v>15</v>
      </c>
      <c r="C15" s="40">
        <v>8</v>
      </c>
      <c r="D15" s="40">
        <v>20</v>
      </c>
    </row>
    <row r="16" spans="1:4" ht="30">
      <c r="A16" s="68" t="s">
        <v>42</v>
      </c>
      <c r="B16" s="40">
        <v>53</v>
      </c>
      <c r="C16" s="40">
        <v>93</v>
      </c>
      <c r="D16" s="70" t="s">
        <v>200</v>
      </c>
    </row>
    <row r="17" spans="1:4">
      <c r="A17" s="68" t="s">
        <v>197</v>
      </c>
      <c r="B17" s="40">
        <v>37</v>
      </c>
      <c r="C17" s="40">
        <v>24</v>
      </c>
      <c r="D17" s="40">
        <v>89</v>
      </c>
    </row>
    <row r="18" spans="1:4">
      <c r="A18" s="68" t="s">
        <v>198</v>
      </c>
      <c r="B18" s="40">
        <v>7</v>
      </c>
      <c r="C18" s="40">
        <v>6</v>
      </c>
      <c r="D18" s="40">
        <v>5</v>
      </c>
    </row>
  </sheetData>
  <mergeCells count="2">
    <mergeCell ref="A1:D1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Nueva EPS</vt:lpstr>
      <vt:lpstr>Sanitas</vt:lpstr>
      <vt:lpstr>Coosalud</vt:lpstr>
      <vt:lpstr>Famisanar</vt:lpstr>
      <vt:lpstr>Salud Total</vt:lpstr>
      <vt:lpstr>Proteger</vt:lpstr>
      <vt:lpstr>Consolidado</vt:lpstr>
      <vt:lpstr>MODELO INDICADORES </vt:lpstr>
      <vt:lpstr>Hoja2</vt:lpstr>
      <vt:lpstr>cumplimiento 5 años</vt:lpstr>
      <vt:lpstr>CCU - Mamografia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2026-05-06T16:27:08Z</dcterms:modified>
</cp:coreProperties>
</file>