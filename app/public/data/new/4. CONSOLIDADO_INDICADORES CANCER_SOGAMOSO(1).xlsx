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xr:revisionPtr revIDLastSave="0" documentId="13_ncr:1_{5B1CBD7B-D1B2-4775-A4B3-F25FE527BE6C}" xr6:coauthVersionLast="47" xr6:coauthVersionMax="47" xr10:uidLastSave="{00000000-0000-0000-0000-000000000000}"/>
  <bookViews>
    <workbookView xWindow="-120" yWindow="-120" windowWidth="20730" windowHeight="11040" tabRatio="776" firstSheet="3" activeTab="9" xr2:uid="{00000000-000D-0000-FFFF-FFFF00000000}"/>
  </bookViews>
  <sheets>
    <sheet name="Nueva EPS (2)" sheetId="13" r:id="rId1"/>
    <sheet name="Nueva EPS" sheetId="1" r:id="rId2"/>
    <sheet name="Sanitas" sheetId="2" r:id="rId3"/>
    <sheet name="Coosalud" sheetId="3" r:id="rId4"/>
    <sheet name="Famisanar" sheetId="4" r:id="rId5"/>
    <sheet name="Salud Total" sheetId="5" r:id="rId6"/>
    <sheet name="Proteger" sheetId="6" r:id="rId7"/>
    <sheet name="Consolidado" sheetId="7" r:id="rId8"/>
    <sheet name="MODELO INDICADORES " sheetId="10" r:id="rId9"/>
    <sheet name="TABLERO INDICADORES " sheetId="9" r:id="rId10"/>
    <sheet name="CCU - Mamografia" sheetId="11" r:id="rId11"/>
  </sheets>
  <definedNames>
    <definedName name="_xlnm._FilterDatabase" localSheetId="7" hidden="1">Consolidado!$A$1:$P$18</definedName>
    <definedName name="_xlnm._FilterDatabase" localSheetId="8" hidden="1">'MODELO INDICADORES '!$A$1:$U$18</definedName>
    <definedName name="_xlnm._FilterDatabase" localSheetId="1" hidden="1">'Nueva EPS'!$A$1:$W$18</definedName>
    <definedName name="_xlnm._FilterDatabase" localSheetId="0" hidden="1">'Nueva EPS (2)'!$A$1:$W$18</definedName>
    <definedName name="_xlnm._FilterDatabase" localSheetId="2" hidden="1">Sanitas!$A$1:$X$18</definedName>
    <definedName name="_xlnm._FilterDatabase" localSheetId="9" hidden="1">'TABLERO INDICADORES '!$A$3:$T$111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5" i="9" l="1"/>
  <c r="U6" i="9"/>
  <c r="F107" i="9"/>
  <c r="F106" i="9"/>
  <c r="F89" i="9"/>
  <c r="F88" i="9"/>
  <c r="F71" i="9"/>
  <c r="F70" i="9"/>
  <c r="F53" i="9"/>
  <c r="F52" i="9"/>
  <c r="F35" i="9"/>
  <c r="F34" i="9"/>
  <c r="F17" i="9"/>
  <c r="F16" i="9"/>
  <c r="S107" i="9"/>
  <c r="S106" i="9"/>
  <c r="S105" i="9"/>
  <c r="T105" i="9" s="1"/>
  <c r="U105" i="9" s="1"/>
  <c r="S104" i="9"/>
  <c r="T104" i="9" s="1"/>
  <c r="U104" i="9" s="1"/>
  <c r="S103" i="9"/>
  <c r="T103" i="9" s="1"/>
  <c r="U103" i="9" s="1"/>
  <c r="S89" i="9"/>
  <c r="S88" i="9"/>
  <c r="S87" i="9"/>
  <c r="T87" i="9" s="1"/>
  <c r="U87" i="9" s="1"/>
  <c r="S86" i="9"/>
  <c r="T86" i="9" s="1"/>
  <c r="U86" i="9" s="1"/>
  <c r="S85" i="9"/>
  <c r="T85" i="9" s="1"/>
  <c r="U85" i="9" s="1"/>
  <c r="S71" i="9"/>
  <c r="S70" i="9"/>
  <c r="S69" i="9"/>
  <c r="T69" i="9" s="1"/>
  <c r="U69" i="9" s="1"/>
  <c r="S68" i="9"/>
  <c r="T68" i="9" s="1"/>
  <c r="U68" i="9" s="1"/>
  <c r="S67" i="9"/>
  <c r="T67" i="9" s="1"/>
  <c r="U67" i="9" s="1"/>
  <c r="S53" i="9"/>
  <c r="T53" i="9" s="1"/>
  <c r="S52" i="9"/>
  <c r="S51" i="9"/>
  <c r="T51" i="9" s="1"/>
  <c r="U51" i="9" s="1"/>
  <c r="S50" i="9"/>
  <c r="T50" i="9" s="1"/>
  <c r="U50" i="9" s="1"/>
  <c r="S49" i="9"/>
  <c r="T49" i="9" s="1"/>
  <c r="U49" i="9" s="1"/>
  <c r="S35" i="9"/>
  <c r="S34" i="9"/>
  <c r="S33" i="9"/>
  <c r="T33" i="9" s="1"/>
  <c r="U33" i="9" s="1"/>
  <c r="S32" i="9"/>
  <c r="T32" i="9" s="1"/>
  <c r="U32" i="9" s="1"/>
  <c r="S31" i="9"/>
  <c r="T31" i="9" s="1"/>
  <c r="U31" i="9" s="1"/>
  <c r="S17" i="9"/>
  <c r="S16" i="9"/>
  <c r="S15" i="9"/>
  <c r="T15" i="9" s="1"/>
  <c r="U15" i="9" s="1"/>
  <c r="S14" i="9"/>
  <c r="T14" i="9" s="1"/>
  <c r="U14" i="9" s="1"/>
  <c r="S13" i="9"/>
  <c r="T13" i="9" s="1"/>
  <c r="U13" i="9" s="1"/>
  <c r="S110" i="9"/>
  <c r="S109" i="9"/>
  <c r="S92" i="9"/>
  <c r="S91" i="9"/>
  <c r="S74" i="9"/>
  <c r="S73" i="9"/>
  <c r="S56" i="9"/>
  <c r="S55" i="9"/>
  <c r="S38" i="9"/>
  <c r="S37" i="9"/>
  <c r="S20" i="9"/>
  <c r="F19" i="9"/>
  <c r="F109" i="9"/>
  <c r="F91" i="9"/>
  <c r="F73" i="9"/>
  <c r="F55" i="9"/>
  <c r="F37" i="9"/>
  <c r="S36" i="9"/>
  <c r="T36" i="9" s="1"/>
  <c r="U36" i="9" s="1"/>
  <c r="S54" i="9"/>
  <c r="T54" i="9" s="1"/>
  <c r="U54" i="9" s="1"/>
  <c r="S72" i="9"/>
  <c r="T72" i="9" s="1"/>
  <c r="U72" i="9" s="1"/>
  <c r="S90" i="9"/>
  <c r="T90" i="9" s="1"/>
  <c r="U90" i="9" s="1"/>
  <c r="S108" i="9"/>
  <c r="T108" i="9" s="1"/>
  <c r="U108" i="9" s="1"/>
  <c r="S19" i="9"/>
  <c r="S18" i="9"/>
  <c r="T18" i="9" s="1"/>
  <c r="U18" i="9" s="1"/>
  <c r="S102" i="9"/>
  <c r="S101" i="9"/>
  <c r="S84" i="9"/>
  <c r="S83" i="9"/>
  <c r="S66" i="9"/>
  <c r="S65" i="9"/>
  <c r="S48" i="9"/>
  <c r="S47" i="9"/>
  <c r="S30" i="9"/>
  <c r="S29" i="9"/>
  <c r="S12" i="9"/>
  <c r="F11" i="9"/>
  <c r="S11" i="9"/>
  <c r="F101" i="9"/>
  <c r="F83" i="9"/>
  <c r="F65" i="9"/>
  <c r="F47" i="9"/>
  <c r="F29" i="9"/>
  <c r="S100" i="9"/>
  <c r="T100" i="9" s="1"/>
  <c r="U100" i="9" s="1"/>
  <c r="S82" i="9"/>
  <c r="T82" i="9" s="1"/>
  <c r="U82" i="9" s="1"/>
  <c r="S64" i="9"/>
  <c r="T64" i="9" s="1"/>
  <c r="U64" i="9" s="1"/>
  <c r="S46" i="9"/>
  <c r="T46" i="9" s="1"/>
  <c r="U46" i="9" s="1"/>
  <c r="S28" i="9"/>
  <c r="T28" i="9" s="1"/>
  <c r="U28" i="9" s="1"/>
  <c r="S10" i="9"/>
  <c r="T10" i="9" s="1"/>
  <c r="U10" i="9" s="1"/>
  <c r="S99" i="9"/>
  <c r="T99" i="9" s="1"/>
  <c r="U99" i="9" s="1"/>
  <c r="S81" i="9"/>
  <c r="T81" i="9" s="1"/>
  <c r="U81" i="9" s="1"/>
  <c r="S63" i="9"/>
  <c r="T63" i="9" s="1"/>
  <c r="U63" i="9" s="1"/>
  <c r="S45" i="9"/>
  <c r="T45" i="9" s="1"/>
  <c r="U45" i="9" s="1"/>
  <c r="S27" i="9"/>
  <c r="T27" i="9" s="1"/>
  <c r="U27" i="9" s="1"/>
  <c r="S9" i="9"/>
  <c r="T9" i="9" s="1"/>
  <c r="U9" i="9" s="1"/>
  <c r="U21" i="9"/>
  <c r="U39" i="9"/>
  <c r="U57" i="9"/>
  <c r="U75" i="9"/>
  <c r="U93" i="9"/>
  <c r="U111" i="9"/>
  <c r="S97" i="9"/>
  <c r="S79" i="9"/>
  <c r="S61" i="9"/>
  <c r="S43" i="9"/>
  <c r="S25" i="9"/>
  <c r="S7" i="9"/>
  <c r="F97" i="9"/>
  <c r="F79" i="9"/>
  <c r="F61" i="9"/>
  <c r="F43" i="9"/>
  <c r="F25" i="9"/>
  <c r="F7" i="9"/>
  <c r="S98" i="9"/>
  <c r="S80" i="9"/>
  <c r="S62" i="9"/>
  <c r="S44" i="9"/>
  <c r="S26" i="9"/>
  <c r="S8" i="9"/>
  <c r="S95" i="9"/>
  <c r="S77" i="9"/>
  <c r="S59" i="9"/>
  <c r="S41" i="9"/>
  <c r="S23" i="9"/>
  <c r="S5" i="9"/>
  <c r="F95" i="9"/>
  <c r="F77" i="9"/>
  <c r="F59" i="9"/>
  <c r="F41" i="9"/>
  <c r="F23" i="9"/>
  <c r="F5" i="9"/>
  <c r="S96" i="9"/>
  <c r="T96" i="9" s="1"/>
  <c r="U96" i="9" s="1"/>
  <c r="S78" i="9"/>
  <c r="T78" i="9" s="1"/>
  <c r="U78" i="9" s="1"/>
  <c r="S60" i="9"/>
  <c r="T60" i="9" s="1"/>
  <c r="U60" i="9" s="1"/>
  <c r="S42" i="9"/>
  <c r="T42" i="9" s="1"/>
  <c r="U42" i="9" s="1"/>
  <c r="S24" i="9"/>
  <c r="T24" i="9" s="1"/>
  <c r="U24" i="9" s="1"/>
  <c r="S6" i="9"/>
  <c r="T6" i="9" s="1"/>
  <c r="S94" i="9"/>
  <c r="T94" i="9" s="1"/>
  <c r="U94" i="9" s="1"/>
  <c r="S76" i="9"/>
  <c r="T76" i="9" s="1"/>
  <c r="U76" i="9" s="1"/>
  <c r="S58" i="9"/>
  <c r="T58" i="9" s="1"/>
  <c r="U58" i="9" s="1"/>
  <c r="S40" i="9"/>
  <c r="T40" i="9" s="1"/>
  <c r="U40" i="9" s="1"/>
  <c r="S22" i="9"/>
  <c r="T22" i="9" s="1"/>
  <c r="U22" i="9" s="1"/>
  <c r="S4" i="9"/>
  <c r="T4" i="9" s="1"/>
  <c r="U4" i="9" s="1"/>
  <c r="K29" i="13"/>
  <c r="V18" i="13"/>
  <c r="V17" i="13"/>
  <c r="V16" i="13"/>
  <c r="W16" i="13" s="1"/>
  <c r="H16" i="13"/>
  <c r="V15" i="13"/>
  <c r="V14" i="13"/>
  <c r="V13" i="13"/>
  <c r="W13" i="13" s="1"/>
  <c r="H13" i="13"/>
  <c r="V12" i="13"/>
  <c r="W12" i="13" s="1"/>
  <c r="H12" i="13"/>
  <c r="V11" i="13"/>
  <c r="W11" i="13" s="1"/>
  <c r="H11" i="13"/>
  <c r="V10" i="13"/>
  <c r="V9" i="13"/>
  <c r="V8" i="13"/>
  <c r="W8" i="13" s="1"/>
  <c r="H8" i="13"/>
  <c r="V7" i="13"/>
  <c r="W7" i="13" s="1"/>
  <c r="H7" i="13"/>
  <c r="V6" i="13"/>
  <c r="V5" i="13"/>
  <c r="V4" i="13"/>
  <c r="W4" i="13" s="1"/>
  <c r="H4" i="13"/>
  <c r="V3" i="13"/>
  <c r="V2" i="13"/>
  <c r="W2" i="13" s="1"/>
  <c r="H2" i="13"/>
  <c r="J51" i="7"/>
  <c r="O18" i="7"/>
  <c r="K13" i="7"/>
  <c r="I3" i="7"/>
  <c r="I4" i="7"/>
  <c r="I5" i="7"/>
  <c r="I6" i="7"/>
  <c r="I7" i="7"/>
  <c r="I8" i="7"/>
  <c r="I9" i="7"/>
  <c r="I10" i="7"/>
  <c r="I11" i="7"/>
  <c r="I12" i="7"/>
  <c r="I13" i="7"/>
  <c r="I14" i="7"/>
  <c r="I15" i="7"/>
  <c r="I16" i="7"/>
  <c r="I17" i="7"/>
  <c r="I18" i="7"/>
  <c r="I2" i="7"/>
  <c r="H6" i="7"/>
  <c r="H7" i="7"/>
  <c r="H8" i="7"/>
  <c r="H9" i="7"/>
  <c r="H10" i="7"/>
  <c r="H11" i="7"/>
  <c r="H12" i="7"/>
  <c r="H13" i="7"/>
  <c r="H14" i="7"/>
  <c r="H15" i="7"/>
  <c r="H16" i="7"/>
  <c r="H17" i="7"/>
  <c r="H18" i="7"/>
  <c r="F16" i="7"/>
  <c r="F13" i="7"/>
  <c r="F12" i="7"/>
  <c r="F11" i="7"/>
  <c r="F7" i="7"/>
  <c r="F8" i="7"/>
  <c r="F4" i="7"/>
  <c r="F2" i="7"/>
  <c r="H4" i="10"/>
  <c r="H7" i="10"/>
  <c r="F2" i="10"/>
  <c r="H2" i="10" s="1"/>
  <c r="W2" i="10" s="1"/>
  <c r="H7" i="1"/>
  <c r="V18" i="10"/>
  <c r="W18" i="10" s="1"/>
  <c r="V17" i="10"/>
  <c r="W17" i="10" s="1"/>
  <c r="V16" i="10"/>
  <c r="W16" i="10" s="1"/>
  <c r="H16" i="10"/>
  <c r="W15" i="10"/>
  <c r="V15" i="10"/>
  <c r="V14" i="10"/>
  <c r="W14" i="10" s="1"/>
  <c r="V13" i="10"/>
  <c r="W13" i="10" s="1"/>
  <c r="H13" i="10"/>
  <c r="V12" i="10"/>
  <c r="H12" i="10"/>
  <c r="V11" i="10"/>
  <c r="H11" i="10"/>
  <c r="V10" i="10"/>
  <c r="W10" i="10" s="1"/>
  <c r="V9" i="10"/>
  <c r="W9" i="10" s="1"/>
  <c r="V8" i="10"/>
  <c r="H8" i="10"/>
  <c r="W8" i="10" s="1"/>
  <c r="V7" i="10"/>
  <c r="V6" i="10"/>
  <c r="W6" i="10" s="1"/>
  <c r="V5" i="10"/>
  <c r="V4" i="10"/>
  <c r="W5" i="10" s="1"/>
  <c r="V3" i="10"/>
  <c r="W3" i="10" s="1"/>
  <c r="V2" i="10"/>
  <c r="V18" i="6"/>
  <c r="V17" i="6"/>
  <c r="V16" i="6"/>
  <c r="H16" i="6"/>
  <c r="V15" i="6"/>
  <c r="V14" i="6"/>
  <c r="V13" i="6"/>
  <c r="W13" i="6" s="1"/>
  <c r="M13" i="7" s="1"/>
  <c r="H13" i="6"/>
  <c r="V12" i="6"/>
  <c r="H12" i="6"/>
  <c r="V11" i="6"/>
  <c r="H11" i="6"/>
  <c r="V10" i="6"/>
  <c r="V9" i="6"/>
  <c r="V8" i="6"/>
  <c r="W8" i="6" s="1"/>
  <c r="M8" i="7" s="1"/>
  <c r="H8" i="6"/>
  <c r="V7" i="6"/>
  <c r="H7" i="6"/>
  <c r="V6" i="6"/>
  <c r="V5" i="6"/>
  <c r="V4" i="6"/>
  <c r="H4" i="6"/>
  <c r="V3" i="6"/>
  <c r="V2" i="6"/>
  <c r="H2" i="6"/>
  <c r="V18" i="5"/>
  <c r="V17" i="5"/>
  <c r="V16" i="5"/>
  <c r="H16" i="5"/>
  <c r="V15" i="5"/>
  <c r="V14" i="5"/>
  <c r="V13" i="5"/>
  <c r="W13" i="5" s="1"/>
  <c r="L13" i="7" s="1"/>
  <c r="H13" i="5"/>
  <c r="V12" i="5"/>
  <c r="H12" i="5"/>
  <c r="V11" i="5"/>
  <c r="W11" i="5" s="1"/>
  <c r="L11" i="7" s="1"/>
  <c r="H11" i="5"/>
  <c r="V10" i="5"/>
  <c r="V9" i="5"/>
  <c r="V8" i="5"/>
  <c r="H8" i="5"/>
  <c r="V7" i="5"/>
  <c r="H7" i="5"/>
  <c r="V6" i="5"/>
  <c r="V5" i="5"/>
  <c r="V4" i="5"/>
  <c r="H4" i="5"/>
  <c r="V3" i="5"/>
  <c r="V2" i="5"/>
  <c r="H2" i="5"/>
  <c r="V18" i="4"/>
  <c r="V17" i="4"/>
  <c r="V16" i="4"/>
  <c r="H16" i="4"/>
  <c r="V15" i="4"/>
  <c r="V14" i="4"/>
  <c r="V13" i="4"/>
  <c r="H13" i="4"/>
  <c r="V12" i="4"/>
  <c r="W12" i="4" s="1"/>
  <c r="K12" i="7" s="1"/>
  <c r="H12" i="4"/>
  <c r="V11" i="4"/>
  <c r="H11" i="4"/>
  <c r="V10" i="4"/>
  <c r="V9" i="4"/>
  <c r="V8" i="4"/>
  <c r="H8" i="4"/>
  <c r="V7" i="4"/>
  <c r="H7" i="4"/>
  <c r="V6" i="4"/>
  <c r="V5" i="4"/>
  <c r="V4" i="4"/>
  <c r="H4" i="4"/>
  <c r="V3" i="4"/>
  <c r="V2" i="4"/>
  <c r="H2" i="4"/>
  <c r="V18" i="3"/>
  <c r="V17" i="3"/>
  <c r="V16" i="3"/>
  <c r="H16" i="3"/>
  <c r="V15" i="3"/>
  <c r="V14" i="3"/>
  <c r="V13" i="3"/>
  <c r="W13" i="3" s="1"/>
  <c r="J13" i="7" s="1"/>
  <c r="H13" i="3"/>
  <c r="V12" i="3"/>
  <c r="H12" i="3"/>
  <c r="V11" i="3"/>
  <c r="W11" i="3" s="1"/>
  <c r="J11" i="7" s="1"/>
  <c r="H11" i="3"/>
  <c r="V10" i="3"/>
  <c r="V9" i="3"/>
  <c r="V8" i="3"/>
  <c r="H8" i="3"/>
  <c r="V7" i="3"/>
  <c r="H7" i="3"/>
  <c r="V6" i="3"/>
  <c r="V5" i="3"/>
  <c r="V4" i="3"/>
  <c r="H4" i="3"/>
  <c r="V3" i="3"/>
  <c r="V2" i="3"/>
  <c r="W2" i="3" s="1"/>
  <c r="J2" i="7" s="1"/>
  <c r="H2" i="3"/>
  <c r="V18" i="2"/>
  <c r="V17" i="2"/>
  <c r="V16" i="2"/>
  <c r="H16" i="2"/>
  <c r="V15" i="2"/>
  <c r="V14" i="2"/>
  <c r="V13" i="2"/>
  <c r="H13" i="2"/>
  <c r="V12" i="2"/>
  <c r="H12" i="2"/>
  <c r="V11" i="2"/>
  <c r="H11" i="2"/>
  <c r="V10" i="2"/>
  <c r="V9" i="2"/>
  <c r="V8" i="2"/>
  <c r="H8" i="2"/>
  <c r="V7" i="2"/>
  <c r="H7" i="2"/>
  <c r="V6" i="2"/>
  <c r="V5" i="2"/>
  <c r="V4" i="2"/>
  <c r="H4" i="2"/>
  <c r="V3" i="2"/>
  <c r="V2" i="2"/>
  <c r="H2" i="2"/>
  <c r="H13" i="1"/>
  <c r="V3" i="1"/>
  <c r="V4" i="1"/>
  <c r="V5" i="1"/>
  <c r="V6" i="1"/>
  <c r="V7" i="1"/>
  <c r="V8" i="1"/>
  <c r="V9" i="1"/>
  <c r="V10" i="1"/>
  <c r="V11" i="1"/>
  <c r="V12" i="1"/>
  <c r="V13" i="1"/>
  <c r="V14" i="1"/>
  <c r="V15" i="1"/>
  <c r="V16" i="1"/>
  <c r="V17" i="1"/>
  <c r="V18" i="1"/>
  <c r="V2" i="1"/>
  <c r="H16" i="1"/>
  <c r="H12" i="1"/>
  <c r="H11" i="1"/>
  <c r="H8" i="1"/>
  <c r="H4" i="1"/>
  <c r="H2" i="1"/>
  <c r="T16" i="9" l="1"/>
  <c r="T89" i="9"/>
  <c r="T17" i="9"/>
  <c r="T71" i="9"/>
  <c r="U71" i="9" s="1"/>
  <c r="T34" i="9"/>
  <c r="T107" i="9"/>
  <c r="U107" i="9" s="1"/>
  <c r="T70" i="9"/>
  <c r="U70" i="9" s="1"/>
  <c r="T52" i="9"/>
  <c r="U52" i="9" s="1"/>
  <c r="T88" i="9"/>
  <c r="T35" i="9"/>
  <c r="U35" i="9" s="1"/>
  <c r="U89" i="9"/>
  <c r="U53" i="9"/>
  <c r="U17" i="9"/>
  <c r="U34" i="9"/>
  <c r="T74" i="9"/>
  <c r="U74" i="9" s="1"/>
  <c r="T106" i="9"/>
  <c r="U106" i="9" s="1"/>
  <c r="U88" i="9"/>
  <c r="U16" i="9"/>
  <c r="T20" i="9"/>
  <c r="U20" i="9" s="1"/>
  <c r="T92" i="9"/>
  <c r="U92" i="9" s="1"/>
  <c r="T37" i="9"/>
  <c r="U37" i="9" s="1"/>
  <c r="T110" i="9"/>
  <c r="U110" i="9" s="1"/>
  <c r="T55" i="9"/>
  <c r="U55" i="9" s="1"/>
  <c r="T56" i="9"/>
  <c r="U56" i="9" s="1"/>
  <c r="T109" i="9"/>
  <c r="U109" i="9" s="1"/>
  <c r="T38" i="9"/>
  <c r="U38" i="9" s="1"/>
  <c r="T73" i="9"/>
  <c r="U73" i="9" s="1"/>
  <c r="T91" i="9"/>
  <c r="U91" i="9" s="1"/>
  <c r="T19" i="9"/>
  <c r="U19" i="9" s="1"/>
  <c r="T84" i="9"/>
  <c r="U84" i="9" s="1"/>
  <c r="T102" i="9"/>
  <c r="U102" i="9" s="1"/>
  <c r="T66" i="9"/>
  <c r="U66" i="9" s="1"/>
  <c r="T12" i="9"/>
  <c r="U12" i="9" s="1"/>
  <c r="T48" i="9"/>
  <c r="U48" i="9" s="1"/>
  <c r="T65" i="9"/>
  <c r="U65" i="9" s="1"/>
  <c r="T29" i="9"/>
  <c r="U29" i="9" s="1"/>
  <c r="T30" i="9"/>
  <c r="U30" i="9" s="1"/>
  <c r="T11" i="9"/>
  <c r="U11" i="9" s="1"/>
  <c r="T83" i="9"/>
  <c r="U83" i="9" s="1"/>
  <c r="T101" i="9"/>
  <c r="U101" i="9" s="1"/>
  <c r="T47" i="9"/>
  <c r="U47" i="9" s="1"/>
  <c r="T43" i="9"/>
  <c r="U43" i="9" s="1"/>
  <c r="T44" i="9"/>
  <c r="U44" i="9" s="1"/>
  <c r="T7" i="9"/>
  <c r="U7" i="9" s="1"/>
  <c r="T25" i="9"/>
  <c r="U25" i="9" s="1"/>
  <c r="T61" i="9"/>
  <c r="U61" i="9" s="1"/>
  <c r="T79" i="9"/>
  <c r="U79" i="9" s="1"/>
  <c r="T97" i="9"/>
  <c r="U97" i="9" s="1"/>
  <c r="T98" i="9"/>
  <c r="U98" i="9" s="1"/>
  <c r="T8" i="9"/>
  <c r="U8" i="9" s="1"/>
  <c r="T26" i="9"/>
  <c r="U26" i="9" s="1"/>
  <c r="T62" i="9"/>
  <c r="U62" i="9" s="1"/>
  <c r="T80" i="9"/>
  <c r="U80" i="9" s="1"/>
  <c r="T23" i="9"/>
  <c r="U23" i="9" s="1"/>
  <c r="T41" i="9"/>
  <c r="U41" i="9" s="1"/>
  <c r="T59" i="9"/>
  <c r="U59" i="9" s="1"/>
  <c r="T77" i="9"/>
  <c r="U77" i="9" s="1"/>
  <c r="T95" i="9"/>
  <c r="U95" i="9" s="1"/>
  <c r="T5" i="9"/>
  <c r="O13" i="7"/>
  <c r="W6" i="6"/>
  <c r="W18" i="13"/>
  <c r="W17" i="13"/>
  <c r="W15" i="13"/>
  <c r="W14" i="13"/>
  <c r="W9" i="13"/>
  <c r="W10" i="13"/>
  <c r="W5" i="13"/>
  <c r="W6" i="13"/>
  <c r="W3" i="13"/>
  <c r="W18" i="5"/>
  <c r="L18" i="7" s="1"/>
  <c r="W17" i="5"/>
  <c r="L17" i="7" s="1"/>
  <c r="W15" i="5"/>
  <c r="L15" i="7" s="1"/>
  <c r="W14" i="5"/>
  <c r="L14" i="7" s="1"/>
  <c r="W10" i="5"/>
  <c r="L10" i="7" s="1"/>
  <c r="W8" i="5"/>
  <c r="L8" i="7" s="1"/>
  <c r="W9" i="5"/>
  <c r="L9" i="7" s="1"/>
  <c r="W5" i="5"/>
  <c r="L5" i="7" s="1"/>
  <c r="W3" i="5"/>
  <c r="L3" i="7" s="1"/>
  <c r="W6" i="5"/>
  <c r="L6" i="7" s="1"/>
  <c r="W15" i="3"/>
  <c r="J15" i="7" s="1"/>
  <c r="W8" i="3"/>
  <c r="J8" i="7" s="1"/>
  <c r="W3" i="3"/>
  <c r="J3" i="7" s="1"/>
  <c r="W9" i="3"/>
  <c r="J9" i="7" s="1"/>
  <c r="W10" i="3"/>
  <c r="J10" i="7" s="1"/>
  <c r="W18" i="6"/>
  <c r="M18" i="7" s="1"/>
  <c r="W17" i="6"/>
  <c r="M17" i="7" s="1"/>
  <c r="W15" i="6"/>
  <c r="M15" i="7" s="1"/>
  <c r="W14" i="6"/>
  <c r="M14" i="7" s="1"/>
  <c r="W9" i="6"/>
  <c r="M9" i="7" s="1"/>
  <c r="W10" i="6"/>
  <c r="M10" i="7" s="1"/>
  <c r="W7" i="6"/>
  <c r="M7" i="7" s="1"/>
  <c r="W5" i="6"/>
  <c r="M5" i="7" s="1"/>
  <c r="M6" i="7"/>
  <c r="W2" i="6"/>
  <c r="M2" i="7" s="1"/>
  <c r="W3" i="6"/>
  <c r="M3" i="7" s="1"/>
  <c r="W11" i="10"/>
  <c r="W12" i="10"/>
  <c r="W7" i="10"/>
  <c r="W2" i="5"/>
  <c r="L2" i="7" s="1"/>
  <c r="W12" i="2"/>
  <c r="W18" i="4"/>
  <c r="K18" i="7" s="1"/>
  <c r="W17" i="4"/>
  <c r="K17" i="7" s="1"/>
  <c r="W15" i="4"/>
  <c r="K15" i="7" s="1"/>
  <c r="W14" i="4"/>
  <c r="K14" i="7" s="1"/>
  <c r="W10" i="4"/>
  <c r="K10" i="7" s="1"/>
  <c r="W9" i="4"/>
  <c r="K9" i="7" s="1"/>
  <c r="W5" i="4"/>
  <c r="K5" i="7" s="1"/>
  <c r="O5" i="7" s="1"/>
  <c r="W4" i="4"/>
  <c r="K4" i="7" s="1"/>
  <c r="W6" i="4"/>
  <c r="K6" i="7" s="1"/>
  <c r="W3" i="4"/>
  <c r="K3" i="7" s="1"/>
  <c r="W18" i="3"/>
  <c r="J18" i="7" s="1"/>
  <c r="W16" i="3"/>
  <c r="J16" i="7" s="1"/>
  <c r="W17" i="3"/>
  <c r="J17" i="7" s="1"/>
  <c r="W14" i="3"/>
  <c r="J14" i="7" s="1"/>
  <c r="W5" i="3"/>
  <c r="J5" i="7" s="1"/>
  <c r="W6" i="3"/>
  <c r="J6" i="7" s="1"/>
  <c r="W4" i="3"/>
  <c r="J4" i="7" s="1"/>
  <c r="W18" i="1"/>
  <c r="W5" i="1"/>
  <c r="H5" i="7" s="1"/>
  <c r="W3" i="1"/>
  <c r="H3" i="7" s="1"/>
  <c r="W6" i="1"/>
  <c r="W17" i="2"/>
  <c r="W18" i="2"/>
  <c r="W15" i="2"/>
  <c r="W14" i="2"/>
  <c r="W10" i="2"/>
  <c r="W9" i="2"/>
  <c r="W4" i="2"/>
  <c r="W5" i="2"/>
  <c r="W6" i="2"/>
  <c r="W3" i="2"/>
  <c r="W12" i="6"/>
  <c r="M12" i="7" s="1"/>
  <c r="O12" i="7" s="1"/>
  <c r="W12" i="5"/>
  <c r="L12" i="7" s="1"/>
  <c r="W13" i="4"/>
  <c r="W12" i="3"/>
  <c r="J12" i="7" s="1"/>
  <c r="W13" i="2"/>
  <c r="W16" i="6"/>
  <c r="M16" i="7" s="1"/>
  <c r="W16" i="5"/>
  <c r="L16" i="7" s="1"/>
  <c r="W11" i="6"/>
  <c r="M11" i="7" s="1"/>
  <c r="W11" i="4"/>
  <c r="K11" i="7" s="1"/>
  <c r="O11" i="7" s="1"/>
  <c r="W11" i="2"/>
  <c r="W8" i="4"/>
  <c r="K8" i="7" s="1"/>
  <c r="W8" i="2"/>
  <c r="W7" i="5"/>
  <c r="L7" i="7" s="1"/>
  <c r="W7" i="4"/>
  <c r="K7" i="7" s="1"/>
  <c r="O7" i="7" s="1"/>
  <c r="W7" i="3"/>
  <c r="J7" i="7" s="1"/>
  <c r="W7" i="2"/>
  <c r="W4" i="6"/>
  <c r="M4" i="7" s="1"/>
  <c r="W4" i="5"/>
  <c r="L4" i="7" s="1"/>
  <c r="W4" i="10"/>
  <c r="W2" i="4"/>
  <c r="K2" i="7" s="1"/>
  <c r="W16" i="4"/>
  <c r="K16" i="7" s="1"/>
  <c r="W2" i="2"/>
  <c r="W16" i="2"/>
  <c r="W14" i="1"/>
  <c r="W10" i="1"/>
  <c r="W17" i="1"/>
  <c r="W9" i="1"/>
  <c r="W15" i="1"/>
  <c r="W11" i="1"/>
  <c r="W16" i="1"/>
  <c r="W13" i="1"/>
  <c r="W12" i="1"/>
  <c r="W8" i="1"/>
  <c r="W7" i="1"/>
  <c r="W4" i="1"/>
  <c r="H4" i="7" s="1"/>
  <c r="W2" i="1"/>
  <c r="H2" i="7" s="1"/>
  <c r="N18" i="7"/>
  <c r="N13" i="7"/>
  <c r="O17" i="7" l="1"/>
  <c r="O16" i="7"/>
  <c r="O15" i="7"/>
  <c r="O14" i="7"/>
  <c r="O10" i="7"/>
  <c r="O8" i="7"/>
  <c r="O6" i="7"/>
  <c r="O4" i="7"/>
  <c r="O3" i="7"/>
  <c r="N11" i="7"/>
  <c r="N9" i="7"/>
  <c r="O9" i="7"/>
  <c r="O2" i="7"/>
  <c r="N2" i="7"/>
  <c r="N16" i="7"/>
  <c r="N15" i="7"/>
  <c r="N8" i="7"/>
  <c r="N10" i="7"/>
  <c r="N5" i="7"/>
  <c r="N6" i="7"/>
  <c r="N12" i="7"/>
  <c r="N4" i="7"/>
  <c r="N7" i="7"/>
</calcChain>
</file>

<file path=xl/sharedStrings.xml><?xml version="1.0" encoding="utf-8"?>
<sst xmlns="http://schemas.openxmlformats.org/spreadsheetml/2006/main" count="1496" uniqueCount="195">
  <si>
    <t>DT cervix</t>
  </si>
  <si>
    <t>FEBRERO</t>
  </si>
  <si>
    <t>MARZO</t>
  </si>
  <si>
    <t>ABRIL</t>
  </si>
  <si>
    <t>MAYO</t>
  </si>
  <si>
    <t>JUNIO</t>
  </si>
  <si>
    <t>JULIO</t>
  </si>
  <si>
    <t>AGOSTO</t>
  </si>
  <si>
    <t>SEPTIEMBRE</t>
  </si>
  <si>
    <t>OCTUBRE</t>
  </si>
  <si>
    <t>NOVIEMBRE</t>
  </si>
  <si>
    <t>DICIEMBRE</t>
  </si>
  <si>
    <t>DT mama</t>
  </si>
  <si>
    <t>DT Prostata</t>
  </si>
  <si>
    <t>DT Colon y Recto</t>
  </si>
  <si>
    <t>sumatoria</t>
  </si>
  <si>
    <t>Cumplimiento</t>
  </si>
  <si>
    <t>Avance en el 
cumplimiento</t>
  </si>
  <si>
    <r>
      <t xml:space="preserve">Proporción de mujeres con citología anormal o citología de triage anormal a quienes se realizó </t>
    </r>
    <r>
      <rPr>
        <b/>
        <sz val="10"/>
        <color indexed="8"/>
        <rFont val="SansSerif"/>
      </rPr>
      <t>colposcopia y biopsia</t>
    </r>
  </si>
  <si>
    <r>
      <t>Proporción de hombres entre 50 y 75 años tamizados con</t>
    </r>
    <r>
      <rPr>
        <b/>
        <sz val="10"/>
        <color indexed="8"/>
        <rFont val="SansSerif"/>
      </rPr>
      <t xml:space="preserve"> PSA</t>
    </r>
  </si>
  <si>
    <r>
      <t>Proporción de hombres mayores de 50 años con tamizaje combinado para cáncer de próstata (</t>
    </r>
    <r>
      <rPr>
        <b/>
        <sz val="10"/>
        <color indexed="8"/>
        <rFont val="SansSerif"/>
      </rPr>
      <t>PSA y Tacto Recta</t>
    </r>
    <r>
      <rPr>
        <sz val="10"/>
        <color indexed="8"/>
        <rFont val="SansSerif"/>
      </rPr>
      <t>l)</t>
    </r>
  </si>
  <si>
    <r>
      <t>Proporción de hombres entre 50 y 75 años con</t>
    </r>
    <r>
      <rPr>
        <b/>
        <sz val="10"/>
        <color indexed="8"/>
        <rFont val="SansSerif"/>
      </rPr>
      <t xml:space="preserve"> tacto rectal</t>
    </r>
  </si>
  <si>
    <t>NUMERADOR</t>
  </si>
  <si>
    <t>PROGRAMA</t>
  </si>
  <si>
    <t>NOMBRE INDICADOR</t>
  </si>
  <si>
    <t>DENOMINADOR</t>
  </si>
  <si>
    <t>Total de mujeres entre 30 y 65 años afiliadas a la EAPB en el municipio</t>
  </si>
  <si>
    <t>Total de mujeres entre 25 y 29 años afiliadas a la EAPB en el municipio</t>
  </si>
  <si>
    <t>Total de mujeres entre 40 y 69 años afiliadas a la EAPB en el municipio</t>
  </si>
  <si>
    <t>Total de mujeres entre 50 y 69 años afiliadas a la EAPB en el municipio</t>
  </si>
  <si>
    <t>Total de mujeres con mamografía clasificada como BI-RADS 4 o superior, que requerían biopsia diagnóstica, durante el mismo período de medición.</t>
  </si>
  <si>
    <t>Total de hombres entre 50 y 75 años afiliados a la EAPB en el municipio</t>
  </si>
  <si>
    <t>Número de hombres con resultado anormal en pruebas de tamizaje para cáncer de próstata (PSA o tacto rectal) a quienes se les realizó biopsia de próstata durante el período de medición</t>
  </si>
  <si>
    <t>Total de hombres con resultado anormal en pruebas de tamizaje para cáncer de próstata durante el mismo período de medición, que según criterio clínico requerían biopsia prostática</t>
  </si>
  <si>
    <r>
      <t xml:space="preserve">Proporción de hombres con pruebas de tamizaje anormal a quienes se les realizó </t>
    </r>
    <r>
      <rPr>
        <b/>
        <sz val="10"/>
        <color rgb="FF000000"/>
        <rFont val="SansSerif"/>
      </rPr>
      <t>biopsia de próstata</t>
    </r>
  </si>
  <si>
    <t>Total de personas de 50 años o más con resultado positivo en la prueba de sangre oculta en materia fecal durante el mismo período de medición, que requerían colonoscopia diagnóstica según el lineamiento técnico</t>
  </si>
  <si>
    <r>
      <t xml:space="preserve">Proporción de personas mayores de 50 años con test de sangre oculta en materia fecal positivos a los que se les realizó </t>
    </r>
    <r>
      <rPr>
        <b/>
        <sz val="10"/>
        <color rgb="FF000000"/>
        <rFont val="SansSerif"/>
      </rPr>
      <t>colonoscopia</t>
    </r>
  </si>
  <si>
    <t>ENERO</t>
  </si>
  <si>
    <t>POBLACION  CORTE 31/12/2025</t>
  </si>
  <si>
    <t>Nueva EPS</t>
  </si>
  <si>
    <t>Sanitas</t>
  </si>
  <si>
    <t>Coosalud</t>
  </si>
  <si>
    <t>Famisanar</t>
  </si>
  <si>
    <t>Salud total</t>
  </si>
  <si>
    <t>Cajacopi</t>
  </si>
  <si>
    <t>Total de mujeres entre 30 y 65 años con resultado  de ADN -VPH durante el periodo en revision</t>
  </si>
  <si>
    <t xml:space="preserve">Número de mujeres entre 30 y 65 años con resultado positivo para ADN-VPH durante el período de medición. </t>
  </si>
  <si>
    <t>Total de mujeres con citología anormal o citología de triage anormal durante el mismo período de medición, requerían colposcopia y biopsia.</t>
  </si>
  <si>
    <t>Total de mujeres tamizadas con citologia cervico  uterina  o citologia de triage  en el periodo evaluado.</t>
  </si>
  <si>
    <r>
      <t xml:space="preserve"># Mujeres de 25 a 65 años   con </t>
    </r>
    <r>
      <rPr>
        <b/>
        <sz val="10"/>
        <rFont val="SansSerif"/>
      </rPr>
      <t>citologia cervico uterina</t>
    </r>
    <r>
      <rPr>
        <sz val="10"/>
        <color indexed="8"/>
        <rFont val="SansSerif"/>
      </rPr>
      <t xml:space="preserve"> anormal  o citologia  de triage anormal en el periodo evaluado. </t>
    </r>
  </si>
  <si>
    <t xml:space="preserve">Proporción de citologias anormales  en mujeres de 25 a 65 años  en el periodo evaluado. </t>
  </si>
  <si>
    <t>Proporción  de ADN VPH Positivo en el periodo evaluado</t>
  </si>
  <si>
    <t>Número de mujeres con resultado  colposcopia y biopsia cervical, durante el período de medición.</t>
  </si>
  <si>
    <r>
      <t xml:space="preserve">Proporción de mujeres entre 40 y 69 años tamizadas con </t>
    </r>
    <r>
      <rPr>
        <b/>
        <sz val="10"/>
        <color rgb="FF000000"/>
        <rFont val="SansSerif"/>
      </rPr>
      <t>examen clínico de la mama</t>
    </r>
    <r>
      <rPr>
        <sz val="10"/>
        <color indexed="8"/>
        <rFont val="SansSerif"/>
      </rPr>
      <t xml:space="preserve"> en el periodo evaluado</t>
    </r>
  </si>
  <si>
    <r>
      <t xml:space="preserve">Proporción de mujeres entre 50 y 69 años tamizadas para cáncer de mama con </t>
    </r>
    <r>
      <rPr>
        <b/>
        <sz val="10"/>
        <color rgb="FF000000"/>
        <rFont val="SansSerif"/>
      </rPr>
      <t>mamografía</t>
    </r>
    <r>
      <rPr>
        <sz val="10"/>
        <color indexed="8"/>
        <rFont val="SansSerif"/>
      </rPr>
      <t xml:space="preserve"> en el periodo evaluado.</t>
    </r>
  </si>
  <si>
    <t>Número de mujeres entre 50 y 69 años  a quienes se les realizó toma de mamografia.</t>
  </si>
  <si>
    <t xml:space="preserve">Total de mujeres entre 50 y 69 años con toma de mamografia </t>
  </si>
  <si>
    <r>
      <t xml:space="preserve">Proporción de mujeres entre 50 y 69 años tamizadas para cáncer de mama con reporte anormal  de </t>
    </r>
    <r>
      <rPr>
        <b/>
        <sz val="10"/>
        <color rgb="FF000000"/>
        <rFont val="SansSerif"/>
      </rPr>
      <t>mamografía</t>
    </r>
    <r>
      <rPr>
        <sz val="10"/>
        <color indexed="8"/>
        <rFont val="SansSerif"/>
      </rPr>
      <t xml:space="preserve"> en el periodo evaluado.</t>
    </r>
  </si>
  <si>
    <t xml:space="preserve">Proporción de mujeres con resultados de Biopsia de mama. </t>
  </si>
  <si>
    <t>Número de hombres entre 50 y 75 años  a quienes se les realizó tamizaje combinado (PSA y tacto rectal) durante el período de medición</t>
  </si>
  <si>
    <t>Total de hombres con alguna prueba de tamizacion para cáncer de prostata</t>
  </si>
  <si>
    <t>Numero de hombres con resultado  anormal de tamizacion para cancer de prostata en el periodo evaluado.</t>
  </si>
  <si>
    <t>Total de personas entre 50 y 75 años  en el municipio</t>
  </si>
  <si>
    <t>Número de personas entre 50 y 75 años a quienes se les realizó prueba de sangre oculta en materia fecal por método inmunoquímico.</t>
  </si>
  <si>
    <r>
      <t>Proporción de personas entre 50 y 75 años tamizadas para cáncer de colon y recto (</t>
    </r>
    <r>
      <rPr>
        <b/>
        <sz val="10"/>
        <color rgb="FF000000"/>
        <rFont val="SansSerif"/>
      </rPr>
      <t>sangre oculta en materia fecal</t>
    </r>
    <r>
      <rPr>
        <sz val="10"/>
        <color indexed="8"/>
        <rFont val="SansSerif"/>
      </rPr>
      <t xml:space="preserve"> con inmunoquímica)</t>
    </r>
  </si>
  <si>
    <t>Total de personas entre 50 y 75 años  con tamizaje de  sangre oculta en heces</t>
  </si>
  <si>
    <t>Total de personas entre 50 y 75 años  con tamizaje resultado positivo de   sangre oculta.</t>
  </si>
  <si>
    <t xml:space="preserve">Proporción de personas con pruebas anormal de sangre oculta en heces. </t>
  </si>
  <si>
    <t>Número de personas de 50 años o más con resultado positivo en la prueba de sangre oculta en materia fecal a quienes se les realizó colonoscopia diagnóstica posterior al resultado positivo, durante el período de medición</t>
  </si>
  <si>
    <r>
      <t xml:space="preserve"> Proporción de mujeres entre 25 y 29 años tamizadas para cáncer de cuello uterino con </t>
    </r>
    <r>
      <rPr>
        <b/>
        <sz val="10"/>
        <rFont val="SansSerif"/>
      </rPr>
      <t>citologia cervico uterina.</t>
    </r>
    <r>
      <rPr>
        <sz val="10"/>
        <rFont val="SansSerif"/>
      </rPr>
      <t xml:space="preserve"> </t>
    </r>
  </si>
  <si>
    <r>
      <t>Proporción de mujeres entre 30 y 65 años tamizadas para cáncer de cuello uterino con</t>
    </r>
    <r>
      <rPr>
        <b/>
        <sz val="10"/>
        <rFont val="SansSerif"/>
      </rPr>
      <t xml:space="preserve"> ADN-VPH</t>
    </r>
    <r>
      <rPr>
        <sz val="10"/>
        <rFont val="SansSerif"/>
      </rPr>
      <t>, según esquema en el periodo evaluado.</t>
    </r>
  </si>
  <si>
    <r>
      <t xml:space="preserve"># Mujeres de 25 a 29 años, con toma de </t>
    </r>
    <r>
      <rPr>
        <b/>
        <sz val="10"/>
        <rFont val="SansSerif"/>
      </rPr>
      <t>citologia cervico uterina</t>
    </r>
    <r>
      <rPr>
        <sz val="10"/>
        <color indexed="8"/>
        <rFont val="SansSerif"/>
      </rPr>
      <t xml:space="preserve">  en el periodo evaluado.</t>
    </r>
  </si>
  <si>
    <t># Mujeres de 30 a 65 años tamizadas con ADN VPH.</t>
  </si>
  <si>
    <t xml:space="preserve">Número de mujeres entre 40 y 69 años  a quienes se les realizó examen clínico de la mama en el periodo evaluado. </t>
  </si>
  <si>
    <t>Número de mujeres entre 50 y 69 años   con resultado de mamografia  BI-RADS 4 o más</t>
  </si>
  <si>
    <t>Número de mujeres con mamografía reportada como BI-RADS 4, o más quienes se les realizó biopsia, durante el período evaluado.</t>
  </si>
  <si>
    <t>Número de hombres entre 50 y 75 años a quienes se les realizó tacto rectal durante el período de medición</t>
  </si>
  <si>
    <t>Número de hombres entre 50 y 75 años  a quienes se les realizó PSA durante el período de medición</t>
  </si>
  <si>
    <t>Total general</t>
  </si>
  <si>
    <t xml:space="preserve">TIPO INDICADOR </t>
  </si>
  <si>
    <t>COBERTURA CCU</t>
  </si>
  <si>
    <t>POSITIVIDAD CCU</t>
  </si>
  <si>
    <t>COBERTURA ADN VPH</t>
  </si>
  <si>
    <t>POSITIVIDAD ADN VPH</t>
  </si>
  <si>
    <t>COBERTURA COLPOSCOPIA Y  BIOPSIA</t>
  </si>
  <si>
    <t>COBERTURA EXAMEN CLINICO DE LA MAMA</t>
  </si>
  <si>
    <t>COBERTURA MAMOGRAFIA</t>
  </si>
  <si>
    <t>POSITIVIDAD MAMOGRAFIA</t>
  </si>
  <si>
    <t>COBERTURA BIOPSIA DE MAMA</t>
  </si>
  <si>
    <t>COBERTURA TACTO RECTAL</t>
  </si>
  <si>
    <t>COBERTURA PSA</t>
  </si>
  <si>
    <t>COBERTURA  (PSA   Y TACTO RECTAL)</t>
  </si>
  <si>
    <t xml:space="preserve">Proporción de hombres mayores de 50 años con tamizacion de cancer de prostata resultado anormal </t>
  </si>
  <si>
    <t>COBERTURA BIOPSIA DE PROSTATA</t>
  </si>
  <si>
    <t>COBERTURA TAMIZACION SANGRE OCULTA EN HECES</t>
  </si>
  <si>
    <t>POSITIVIDAD SANGRE OCULTA EN HECES</t>
  </si>
  <si>
    <t xml:space="preserve">COBERTURA COLONOSCOPIA </t>
  </si>
  <si>
    <t xml:space="preserve">ESTIMACION </t>
  </si>
  <si>
    <t>LINEA BASE 2025</t>
  </si>
  <si>
    <t>META 
AÑO 2026</t>
  </si>
  <si>
    <t>41,45%</t>
  </si>
  <si>
    <t>ACUMULADO 
ACTIVIDADES</t>
  </si>
  <si>
    <t>% EJECUCION</t>
  </si>
  <si>
    <t>N/A</t>
  </si>
  <si>
    <t>POSITIVIDAD CANCER DE PROSTATA</t>
  </si>
  <si>
    <t>POBLACION  CORTE 31/12/2025 activos soogamoso</t>
  </si>
  <si>
    <t>46,69%</t>
  </si>
  <si>
    <t>43,01%</t>
  </si>
  <si>
    <t>48,53%</t>
  </si>
  <si>
    <t>24,65%</t>
  </si>
  <si>
    <t>45,44%</t>
  </si>
  <si>
    <t>64,71%</t>
  </si>
  <si>
    <t>75,6</t>
  </si>
  <si>
    <t>65,4%</t>
  </si>
  <si>
    <t>27,48%</t>
  </si>
  <si>
    <t>74,0%</t>
  </si>
  <si>
    <t>68,04%</t>
  </si>
  <si>
    <t>73,51%</t>
  </si>
  <si>
    <t>13,19%</t>
  </si>
  <si>
    <t>18,41%</t>
  </si>
  <si>
    <t>52,15%</t>
  </si>
  <si>
    <t>21,5%</t>
  </si>
  <si>
    <t>12,47%</t>
  </si>
  <si>
    <t>8,03%</t>
  </si>
  <si>
    <t>54,68%</t>
  </si>
  <si>
    <t>58,59%</t>
  </si>
  <si>
    <t>67,1%</t>
  </si>
  <si>
    <t>40,63%</t>
  </si>
  <si>
    <t>50,24%</t>
  </si>
  <si>
    <t>45,45%</t>
  </si>
  <si>
    <t>52,99%</t>
  </si>
  <si>
    <t>45,51%</t>
  </si>
  <si>
    <t>39,44%</t>
  </si>
  <si>
    <t>57,55%</t>
  </si>
  <si>
    <t>21,52%</t>
  </si>
  <si>
    <t>43,53%</t>
  </si>
  <si>
    <t>41,46%</t>
  </si>
  <si>
    <t>52,62%</t>
  </si>
  <si>
    <t>43,27%</t>
  </si>
  <si>
    <t>55,89%</t>
  </si>
  <si>
    <t>51,92%</t>
  </si>
  <si>
    <t>49,93%</t>
  </si>
  <si>
    <t>62,86%</t>
  </si>
  <si>
    <t>19,72%</t>
  </si>
  <si>
    <t>47,09%</t>
  </si>
  <si>
    <t>28,72%</t>
  </si>
  <si>
    <t>16,90%</t>
  </si>
  <si>
    <t>20,29%</t>
  </si>
  <si>
    <t>15,05%</t>
  </si>
  <si>
    <t>21,78%</t>
  </si>
  <si>
    <t>37,69%</t>
  </si>
  <si>
    <t>30,09%</t>
  </si>
  <si>
    <t>LINEA BASE 
2025</t>
  </si>
  <si>
    <t>SD</t>
  </si>
  <si>
    <t xml:space="preserve">Mamografia con birad 5 , ene l mes de febrero con servicio autorizado para biopsia sin  realizacioni de la misma  CC 24226148 . Meiby  Garnica de Neira </t>
  </si>
  <si>
    <t>No se tiene reporte de biopsia en hombres con tamizaje de prostata anormal</t>
  </si>
  <si>
    <t>Seguimiento 17/04/2026</t>
  </si>
  <si>
    <t xml:space="preserve">Solicitar a la lider nacional  para definir en el censo  los casos activos. </t>
  </si>
  <si>
    <t>Ala fecha no se cuenta con indicadoress finales del mes de marzo, los ingresados son premilinares.</t>
  </si>
  <si>
    <t>Seguimiento</t>
  </si>
  <si>
    <t>No se dispone de Indicadores del mes de marzo</t>
  </si>
  <si>
    <t xml:space="preserve">Paola Gallo </t>
  </si>
  <si>
    <t>Validar los resultados de ADN VPH para  identificar usuarias para CCU y Colposcopia</t>
  </si>
  <si>
    <t>Verificar de los resultados positivos de PSA , si se realizo biopsia</t>
  </si>
  <si>
    <t>1 caso Birad 5 . CC 23770324 biopsia de mama 03/03//2026 en manejo con Centro Cancerologico  de Boyaca</t>
  </si>
  <si>
    <t>no se tiene realizacion de colonoscopia, ante resultados de SOMF positivos</t>
  </si>
  <si>
    <t>POBLACION REPORTADA POR LA EPS</t>
  </si>
  <si>
    <t>Pacientes con citologia anormal sin reporte de colposcopia</t>
  </si>
  <si>
    <t>falta indicadoress  mes de marzo</t>
  </si>
  <si>
    <t xml:space="preserve">En el mes de febrero cambio de prestador </t>
  </si>
  <si>
    <t>No se cuenta con soporte de biopsia para pacientes positivos por PSA</t>
  </si>
  <si>
    <t>No se cuenta con reportees de colonoscopia para usuarios con SOMF positivos</t>
  </si>
  <si>
    <t>NUEVA EPS</t>
  </si>
  <si>
    <t>SANITAS</t>
  </si>
  <si>
    <t>COOSALUD</t>
  </si>
  <si>
    <t>FAMISANAR</t>
  </si>
  <si>
    <t>EPS</t>
  </si>
  <si>
    <t>Enero</t>
  </si>
  <si>
    <t>Febrero</t>
  </si>
  <si>
    <t>Marzo</t>
  </si>
  <si>
    <t>Salud Total</t>
  </si>
  <si>
    <t>Proteger</t>
  </si>
  <si>
    <t xml:space="preserve">EPS </t>
  </si>
  <si>
    <t>24 
preliminar</t>
  </si>
  <si>
    <t xml:space="preserve">  Citologia cervico uterina  en mujeres entre 25 a 29 años</t>
  </si>
  <si>
    <t>Mamografía mujeres entre 50 y 69  años</t>
  </si>
  <si>
    <t xml:space="preserve"> </t>
  </si>
  <si>
    <t>Se hace seguimiento  con la Jefe Yuly Paola Vaca durante la mesa RIAS,  la informacion del mes de abril es preliminar dado que no coincide con al informacion reportada al trimestre anterior,  con datos menores  en siguires y  en los acumulados , en comparacion a los datos  reportados por el EPS.  se comprometen al envio de la informacion del censo de paacientes de cancer el dia de hoy.</t>
  </si>
  <si>
    <t xml:space="preserve">22//05/2026 </t>
  </si>
  <si>
    <t>Se hace seguimiento a indicadores mediante mesa RIAS , se ingresa la ifnormacion del mes de abril, se actualizia informacion  recuperada del I triemestre , no se cuenta con informacion de pruebas confirmatorias, lo que esta generando las alertas  y se deja compromiso para la EPS</t>
  </si>
  <si>
    <t xml:space="preserve">seguimeinto mediante mesa RIAS , bajo cumplimiento en tamizacion, sin red en el municipio,  para PSA; Colposcopia, ADN VPH,  se  verifica informacion reportada de enero a marzo y se ingresa la ainformacion de abril. Jefe Andrea Bautista </t>
  </si>
  <si>
    <t>INDICADOR</t>
  </si>
  <si>
    <t>SALUD TOTAL</t>
  </si>
  <si>
    <t xml:space="preserve">PROTEGER  </t>
  </si>
  <si>
    <t xml:space="preserve">PARA GRAFICAR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</si>
</sst>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alibri"/>
      <family val="2"/>
      <scheme val="minor"/>
    </font>
    <font>
      <sz val="10"/>
      <color indexed="8"/>
      <name val="SansSerif"/>
    </font>
    <font>
      <b/>
      <sz val="10"/>
      <color indexed="8"/>
      <name val="SansSerif"/>
    </font>
    <font>
      <sz val="10"/>
      <name val="SansSerif"/>
    </font>
    <font>
      <b/>
      <sz val="10"/>
      <color rgb="FF000000"/>
      <name val="SansSerif"/>
    </font>
    <font>
      <b/>
      <sz val="9"/>
      <color theme="0"/>
      <name val="SansSerif"/>
    </font>
    <font>
      <sz val="10"/>
      <color theme="1"/>
      <name val="Calibri"/>
      <family val="2"/>
      <scheme val="minor"/>
    </font>
    <font>
      <sz val="10"/>
      <name val="Calibri"/>
      <family val="2"/>
      <scheme val="minor"/>
    </font>
    <font>
      <b/>
      <sz val="9"/>
      <color theme="0"/>
      <name val="Calibri"/>
      <family val="2"/>
      <scheme val="minor"/>
    </font>
    <font>
      <sz val="9"/>
      <color theme="1"/>
      <name val="Calibri"/>
      <family val="2"/>
      <scheme val="minor"/>
    </font>
    <font>
      <sz val="9"/>
      <color indexed="8"/>
      <name val="SansSerif"/>
    </font>
    <font>
      <sz val="11"/>
      <name val="Calibri"/>
      <family val="2"/>
      <scheme val="minor"/>
    </font>
    <font>
      <b/>
      <sz val="10"/>
      <name val="SansSerif"/>
    </font>
    <font>
      <sz val="8"/>
      <name val="Calibri"/>
      <family val="2"/>
      <scheme val="minor"/>
    </font>
    <font>
      <sz val="11"/>
      <color theme="1"/>
      <name val="Calibri"/>
      <family val="2"/>
      <scheme val="minor"/>
    </font>
    <font>
      <sz val="11"/>
      <name val="SansSerif"/>
    </font>
    <font>
      <b/>
      <sz val="11"/>
      <color theme="1"/>
      <name val="Calibri"/>
      <family val="2"/>
      <scheme val="minor"/>
    </font>
    <font>
      <b/>
      <sz val="9"/>
      <name val="SansSerif"/>
    </font>
    <font>
      <b/>
      <sz val="9"/>
      <name val="Calibri"/>
      <family val="2"/>
      <scheme val="minor"/>
    </font>
    <font>
      <b/>
      <sz val="11"/>
      <name val="Calibri"/>
      <family val="2"/>
      <scheme val="minor"/>
    </font>
  </fonts>
  <fills count="13">
    <fill>
      <patternFill patternType="none"/>
    </fill>
    <fill>
      <patternFill patternType="gray125"/>
    </fill>
    <fill>
      <patternFill patternType="solid">
        <fgColor indexed="9"/>
        <bgColor indexed="64"/>
      </patternFill>
    </fill>
    <fill>
      <patternFill patternType="solid">
        <fgColor rgb="FFC00000"/>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E3DD"/>
        <bgColor indexed="64"/>
      </patternFill>
    </fill>
    <fill>
      <patternFill patternType="solid">
        <fgColor rgb="FFFCD3C8"/>
        <bgColor indexed="64"/>
      </patternFill>
    </fill>
    <fill>
      <patternFill patternType="solid">
        <fgColor theme="2"/>
        <bgColor indexed="64"/>
      </patternFill>
    </fill>
    <fill>
      <patternFill patternType="solid">
        <fgColor theme="7" tint="0.79998168889431442"/>
        <bgColor indexed="64"/>
      </patternFill>
    </fill>
    <fill>
      <patternFill patternType="solid">
        <fgColor theme="8" tint="0.79998168889431442"/>
        <bgColor indexed="64"/>
      </patternFill>
    </fill>
  </fills>
  <borders count="14">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64"/>
      </left>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64"/>
      </left>
      <right style="thin">
        <color indexed="64"/>
      </right>
      <top/>
      <bottom style="thin">
        <color indexed="64"/>
      </bottom>
      <diagonal/>
    </border>
    <border>
      <left style="thin">
        <color indexed="8"/>
      </left>
      <right/>
      <top style="thin">
        <color indexed="8"/>
      </top>
      <bottom/>
      <diagonal/>
    </border>
    <border>
      <left/>
      <right style="thin">
        <color indexed="8"/>
      </right>
      <top/>
      <bottom style="thin">
        <color indexed="8"/>
      </bottom>
      <diagonal/>
    </border>
    <border>
      <left style="thin">
        <color indexed="8"/>
      </left>
      <right/>
      <top/>
      <bottom style="thin">
        <color indexed="8"/>
      </bottom>
      <diagonal/>
    </border>
    <border>
      <left style="thin">
        <color indexed="64"/>
      </left>
      <right/>
      <top/>
      <bottom style="thin">
        <color indexed="64"/>
      </bottom>
      <diagonal/>
    </border>
    <border>
      <left style="thin">
        <color indexed="64"/>
      </left>
      <right/>
      <top/>
      <bottom/>
      <diagonal/>
    </border>
  </borders>
  <cellStyleXfs count="2">
    <xf numFmtId="0" fontId="0" fillId="0" borderId="0"/>
    <xf numFmtId="9" fontId="14" fillId="0" borderId="0" applyFont="0" applyFill="0" applyBorder="0" applyAlignment="0" applyProtection="0"/>
  </cellStyleXfs>
  <cellXfs count="103">
    <xf numFmtId="0" fontId="0" fillId="0" borderId="0" xfId="0"/>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2"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2" xfId="0" applyFont="1" applyFill="1" applyBorder="1" applyAlignment="1">
      <alignment horizontal="left" vertical="center" wrapText="1"/>
    </xf>
    <xf numFmtId="0" fontId="5" fillId="3" borderId="1" xfId="0" applyFont="1" applyFill="1" applyBorder="1" applyAlignment="1">
      <alignment horizontal="left" vertical="top" wrapText="1"/>
    </xf>
    <xf numFmtId="0" fontId="6" fillId="0" borderId="0" xfId="0" applyFont="1" applyAlignment="1">
      <alignment horizontal="center"/>
    </xf>
    <xf numFmtId="0" fontId="6" fillId="0" borderId="0" xfId="0" applyFont="1"/>
    <xf numFmtId="0" fontId="7" fillId="0" borderId="2" xfId="0" applyFont="1" applyBorder="1"/>
    <xf numFmtId="0" fontId="5" fillId="3" borderId="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 xfId="0" applyFont="1" applyFill="1" applyBorder="1" applyAlignment="1">
      <alignment horizontal="center" vertical="center"/>
    </xf>
    <xf numFmtId="0" fontId="9" fillId="0" borderId="0" xfId="0" applyFont="1"/>
    <xf numFmtId="0" fontId="1" fillId="2" borderId="7"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8" xfId="0" applyFont="1" applyFill="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left" vertical="top" wrapText="1"/>
    </xf>
    <xf numFmtId="0" fontId="10"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top" wrapText="1"/>
    </xf>
    <xf numFmtId="0" fontId="1" fillId="0" borderId="3"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left" vertical="top" wrapText="1"/>
    </xf>
    <xf numFmtId="0" fontId="3" fillId="0" borderId="1" xfId="0" applyFont="1" applyBorder="1" applyAlignment="1">
      <alignment horizontal="left" vertical="center" wrapText="1"/>
    </xf>
    <xf numFmtId="0" fontId="3" fillId="0" borderId="1" xfId="0" applyFont="1" applyBorder="1" applyAlignment="1">
      <alignment horizontal="left" vertical="top" wrapText="1"/>
    </xf>
    <xf numFmtId="0" fontId="1" fillId="0" borderId="3" xfId="0" applyFont="1" applyBorder="1" applyAlignment="1">
      <alignment horizontal="left" vertical="top" wrapText="1"/>
    </xf>
    <xf numFmtId="0" fontId="1" fillId="0" borderId="9" xfId="0" applyFont="1" applyBorder="1" applyAlignment="1">
      <alignment horizontal="left" vertical="top" wrapText="1"/>
    </xf>
    <xf numFmtId="9" fontId="11" fillId="5" borderId="2" xfId="0" applyNumberFormat="1" applyFont="1" applyFill="1" applyBorder="1" applyAlignment="1">
      <alignment horizontal="center" vertical="center"/>
    </xf>
    <xf numFmtId="0" fontId="11" fillId="5" borderId="2" xfId="0" applyFont="1" applyFill="1" applyBorder="1" applyAlignment="1">
      <alignment horizontal="center" vertical="center"/>
    </xf>
    <xf numFmtId="1" fontId="15" fillId="5" borderId="2" xfId="0" applyNumberFormat="1" applyFont="1" applyFill="1" applyBorder="1" applyAlignment="1">
      <alignment horizontal="center" vertical="center" wrapText="1"/>
    </xf>
    <xf numFmtId="0" fontId="11" fillId="0" borderId="2" xfId="0" applyFont="1" applyBorder="1" applyAlignment="1">
      <alignment horizontal="center" vertical="center"/>
    </xf>
    <xf numFmtId="2" fontId="11" fillId="0" borderId="2" xfId="0" applyNumberFormat="1" applyFont="1" applyBorder="1" applyAlignment="1">
      <alignment horizontal="center" vertical="center"/>
    </xf>
    <xf numFmtId="0" fontId="0" fillId="0" borderId="2" xfId="0" applyBorder="1" applyAlignment="1">
      <alignment horizontal="center" vertical="center"/>
    </xf>
    <xf numFmtId="9" fontId="0" fillId="0" borderId="2" xfId="1" applyFont="1" applyBorder="1" applyAlignment="1">
      <alignment horizontal="center" vertical="center"/>
    </xf>
    <xf numFmtId="9" fontId="0" fillId="0" borderId="2" xfId="1" applyFont="1" applyFill="1" applyBorder="1" applyAlignment="1">
      <alignment horizontal="center" vertical="center"/>
    </xf>
    <xf numFmtId="0" fontId="1" fillId="0" borderId="5" xfId="0" applyFont="1" applyBorder="1" applyAlignment="1">
      <alignment horizontal="left" vertical="top" wrapText="1"/>
    </xf>
    <xf numFmtId="0" fontId="1" fillId="0" borderId="11" xfId="0" applyFont="1" applyBorder="1" applyAlignment="1">
      <alignment horizontal="left" vertical="top" wrapText="1"/>
    </xf>
    <xf numFmtId="0" fontId="1" fillId="4" borderId="3"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left" vertical="top" wrapText="1"/>
    </xf>
    <xf numFmtId="0" fontId="1" fillId="4" borderId="12" xfId="0" applyFont="1" applyFill="1" applyBorder="1" applyAlignment="1">
      <alignment horizontal="left" vertical="top" wrapText="1"/>
    </xf>
    <xf numFmtId="0" fontId="5" fillId="3" borderId="4" xfId="0" applyFont="1" applyFill="1" applyBorder="1" applyAlignment="1">
      <alignment horizontal="left" vertical="top" wrapText="1"/>
    </xf>
    <xf numFmtId="0" fontId="11" fillId="6" borderId="2" xfId="0" applyFont="1" applyFill="1" applyBorder="1" applyAlignment="1">
      <alignment horizontal="center" vertical="center"/>
    </xf>
    <xf numFmtId="14" fontId="6" fillId="0" borderId="0" xfId="0" applyNumberFormat="1" applyFont="1"/>
    <xf numFmtId="1" fontId="15" fillId="7" borderId="2" xfId="0" applyNumberFormat="1" applyFont="1" applyFill="1" applyBorder="1" applyAlignment="1">
      <alignment horizontal="center" vertical="center" wrapText="1"/>
    </xf>
    <xf numFmtId="1" fontId="3" fillId="7" borderId="4" xfId="0" applyNumberFormat="1" applyFont="1" applyFill="1" applyBorder="1" applyAlignment="1">
      <alignment horizontal="center" vertical="top" wrapText="1"/>
    </xf>
    <xf numFmtId="1" fontId="3" fillId="7" borderId="10" xfId="0" applyNumberFormat="1" applyFont="1" applyFill="1" applyBorder="1" applyAlignment="1">
      <alignment horizontal="center" vertical="top" wrapText="1"/>
    </xf>
    <xf numFmtId="1" fontId="3" fillId="7" borderId="1" xfId="0" applyNumberFormat="1" applyFont="1" applyFill="1" applyBorder="1" applyAlignment="1">
      <alignment horizontal="center" vertical="top" wrapText="1"/>
    </xf>
    <xf numFmtId="0" fontId="15" fillId="4" borderId="0" xfId="0" applyFont="1" applyFill="1" applyAlignment="1">
      <alignment horizontal="center" vertical="center" wrapText="1"/>
    </xf>
    <xf numFmtId="9" fontId="11" fillId="4" borderId="2" xfId="0" applyNumberFormat="1" applyFont="1" applyFill="1" applyBorder="1" applyAlignment="1">
      <alignment horizontal="center" vertical="center"/>
    </xf>
    <xf numFmtId="0" fontId="11" fillId="4" borderId="2" xfId="0" applyFont="1" applyFill="1" applyBorder="1" applyAlignment="1">
      <alignment horizontal="center" vertical="center"/>
    </xf>
    <xf numFmtId="0" fontId="15" fillId="4" borderId="2" xfId="0" applyFont="1" applyFill="1" applyBorder="1" applyAlignment="1">
      <alignment horizontal="center" vertical="center" wrapText="1"/>
    </xf>
    <xf numFmtId="9" fontId="11" fillId="0" borderId="2" xfId="0" applyNumberFormat="1" applyFont="1" applyBorder="1" applyAlignment="1">
      <alignment horizontal="center" vertical="center"/>
    </xf>
    <xf numFmtId="0" fontId="0" fillId="0" borderId="2" xfId="0" applyBorder="1"/>
    <xf numFmtId="0" fontId="0" fillId="0" borderId="2" xfId="0" applyBorder="1" applyAlignment="1">
      <alignment horizontal="center"/>
    </xf>
    <xf numFmtId="0" fontId="11" fillId="0" borderId="2" xfId="0" applyFont="1" applyBorder="1" applyAlignment="1">
      <alignment horizontal="center" vertical="center" wrapText="1"/>
    </xf>
    <xf numFmtId="0" fontId="16" fillId="0" borderId="2" xfId="0" applyFont="1" applyBorder="1" applyAlignment="1">
      <alignment horizontal="center"/>
    </xf>
    <xf numFmtId="0" fontId="2" fillId="0" borderId="2" xfId="0" applyFont="1" applyBorder="1" applyAlignment="1">
      <alignment horizontal="center" vertical="top" wrapText="1"/>
    </xf>
    <xf numFmtId="9" fontId="11" fillId="0" borderId="2" xfId="1" applyFont="1" applyBorder="1" applyAlignment="1">
      <alignment horizontal="center" vertical="center"/>
    </xf>
    <xf numFmtId="9" fontId="0" fillId="6" borderId="2" xfId="1" applyFont="1" applyFill="1" applyBorder="1" applyAlignment="1">
      <alignment horizontal="center" vertical="center"/>
    </xf>
    <xf numFmtId="14" fontId="6" fillId="0" borderId="2" xfId="0" applyNumberFormat="1" applyFont="1" applyBorder="1" applyAlignment="1">
      <alignment vertical="center"/>
    </xf>
    <xf numFmtId="0" fontId="1" fillId="4" borderId="13" xfId="0" applyFont="1" applyFill="1" applyBorder="1" applyAlignment="1">
      <alignment horizontal="left" vertical="top" wrapText="1"/>
    </xf>
    <xf numFmtId="0" fontId="1" fillId="4" borderId="0" xfId="0" applyFont="1" applyFill="1" applyAlignment="1">
      <alignment horizontal="left" vertical="top" wrapText="1"/>
    </xf>
    <xf numFmtId="0" fontId="1" fillId="4" borderId="2" xfId="0" applyFont="1" applyFill="1" applyBorder="1" applyAlignment="1">
      <alignment horizontal="left" vertical="top" wrapText="1"/>
    </xf>
    <xf numFmtId="0" fontId="12" fillId="8" borderId="2" xfId="0" applyFont="1" applyFill="1" applyBorder="1" applyAlignment="1">
      <alignment horizontal="center" vertical="top" wrapText="1"/>
    </xf>
    <xf numFmtId="0" fontId="2" fillId="8" borderId="2" xfId="0" applyFont="1" applyFill="1" applyBorder="1" applyAlignment="1">
      <alignment horizontal="center" vertical="top" wrapText="1"/>
    </xf>
    <xf numFmtId="0" fontId="0" fillId="9" borderId="0" xfId="0" applyFill="1"/>
    <xf numFmtId="0" fontId="18" fillId="9" borderId="2" xfId="0" applyFont="1" applyFill="1" applyBorder="1" applyAlignment="1">
      <alignment horizontal="center" vertical="center" wrapText="1"/>
    </xf>
    <xf numFmtId="0" fontId="18" fillId="9" borderId="2" xfId="0" applyFont="1" applyFill="1" applyBorder="1" applyAlignment="1">
      <alignment horizontal="center" vertical="center"/>
    </xf>
    <xf numFmtId="0" fontId="17" fillId="9" borderId="2" xfId="0" applyFont="1" applyFill="1" applyBorder="1" applyAlignment="1">
      <alignment horizontal="left" vertical="top" wrapText="1"/>
    </xf>
    <xf numFmtId="0" fontId="0" fillId="9" borderId="2" xfId="0" applyFill="1" applyBorder="1"/>
    <xf numFmtId="0" fontId="19" fillId="9" borderId="2" xfId="0" applyFont="1" applyFill="1" applyBorder="1" applyAlignment="1">
      <alignment horizontal="center"/>
    </xf>
    <xf numFmtId="0" fontId="0" fillId="10" borderId="0" xfId="0" applyFill="1"/>
    <xf numFmtId="0" fontId="0" fillId="10" borderId="2" xfId="0" applyFill="1" applyBorder="1"/>
    <xf numFmtId="0" fontId="0" fillId="11" borderId="2" xfId="0" applyFill="1" applyBorder="1"/>
    <xf numFmtId="0" fontId="0" fillId="12" borderId="2" xfId="0" applyFill="1" applyBorder="1"/>
    <xf numFmtId="0" fontId="16" fillId="9" borderId="0" xfId="0" applyFont="1" applyFill="1"/>
    <xf numFmtId="9" fontId="0" fillId="9" borderId="2" xfId="1" applyFont="1" applyFill="1" applyBorder="1"/>
    <xf numFmtId="0" fontId="0" fillId="6" borderId="2" xfId="0" applyFill="1" applyBorder="1"/>
    <xf numFmtId="0" fontId="0" fillId="11" borderId="0" xfId="0" applyFill="1"/>
    <xf numFmtId="2" fontId="0" fillId="9" borderId="2" xfId="0" applyNumberFormat="1" applyFill="1" applyBorder="1"/>
    <xf numFmtId="2" fontId="0" fillId="10" borderId="2" xfId="0" applyNumberFormat="1" applyFill="1" applyBorder="1"/>
    <xf numFmtId="2" fontId="0" fillId="11" borderId="2" xfId="0" applyNumberFormat="1" applyFill="1" applyBorder="1"/>
    <xf numFmtId="9" fontId="0" fillId="10" borderId="2" xfId="1" applyFont="1" applyFill="1" applyBorder="1"/>
    <xf numFmtId="164" fontId="0" fillId="10" borderId="2" xfId="1" applyNumberFormat="1" applyFont="1" applyFill="1" applyBorder="1"/>
    <xf numFmtId="164" fontId="0" fillId="9" borderId="2" xfId="1" applyNumberFormat="1" applyFont="1" applyFill="1" applyBorder="1"/>
    <xf numFmtId="9" fontId="0" fillId="11" borderId="2" xfId="1" applyFont="1" applyFill="1" applyBorder="1"/>
    <xf numFmtId="9" fontId="0" fillId="12" borderId="2" xfId="1" applyFont="1" applyFill="1" applyBorder="1"/>
    <xf numFmtId="164" fontId="0" fillId="12" borderId="2" xfId="1" applyNumberFormat="1" applyFont="1" applyFill="1" applyBorder="1"/>
    <xf numFmtId="164" fontId="0" fillId="6" borderId="2" xfId="1" applyNumberFormat="1" applyFont="1" applyFill="1" applyBorder="1"/>
    <xf numFmtId="0" fontId="0" fillId="9" borderId="2" xfId="0" applyNumberFormat="1" applyFill="1" applyBorder="1"/>
    <xf numFmtId="9" fontId="0" fillId="6" borderId="2" xfId="1" applyFont="1" applyFill="1" applyBorder="1"/>
    <xf numFmtId="0" fontId="18" fillId="9" borderId="0" xfId="0" applyFont="1" applyFill="1" applyBorder="1" applyAlignment="1">
      <alignment horizontal="center" vertical="center" wrapText="1"/>
    </xf>
    <xf numFmtId="9" fontId="0" fillId="9" borderId="0" xfId="1" applyFont="1" applyFill="1" applyBorder="1"/>
    <xf numFmtId="164" fontId="0" fillId="11" borderId="2" xfId="1" applyNumberFormat="1" applyFont="1" applyFill="1" applyBorder="1"/>
    <xf numFmtId="9" fontId="0" fillId="10" borderId="2" xfId="1" applyNumberFormat="1" applyFont="1" applyFill="1" applyBorder="1"/>
  </cellXfs>
  <cellStyles count="2">
    <cellStyle name="Normal" xfId="0" builtinId="0"/>
    <cellStyle name="Porcentaje" xfId="1" builtinId="5"/>
  </cellStyles>
  <dxfs count="0"/>
  <tableStyles count="0" defaultTableStyle="TableStyleMedium2" defaultPivotStyle="PivotStyleLight16"/>
  <colors>
    <mruColors>
      <color rgb="FFFCD3C8"/>
      <color rgb="FFF9A791"/>
      <color rgb="FFFFE3DD"/>
      <color rgb="FFFFE7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A58D-CFC4-4A1C-9FFD-438A3701C06E}">
  <sheetPr>
    <tabColor theme="4" tint="-0.249977111117893"/>
  </sheetPr>
  <dimension ref="A1:X29"/>
  <sheetViews>
    <sheetView topLeftCell="D1" zoomScale="85" zoomScaleNormal="85" workbookViewId="0">
      <pane ySplit="1" topLeftCell="A15" activePane="bottomLeft" state="frozen"/>
      <selection activeCell="B1" sqref="B1"/>
      <selection pane="bottomLeft" activeCell="J2" sqref="J2:M18"/>
    </sheetView>
  </sheetViews>
  <sheetFormatPr baseColWidth="10" defaultColWidth="9.140625" defaultRowHeight="12.75"/>
  <cols>
    <col min="1" max="1" width="11.5703125" style="12" customWidth="1"/>
    <col min="2" max="2" width="15.85546875" style="12" customWidth="1"/>
    <col min="3" max="3" width="37.5703125" style="12" customWidth="1"/>
    <col min="4" max="4" width="34.5703125" style="12" customWidth="1"/>
    <col min="5" max="5" width="33.42578125" style="12" customWidth="1"/>
    <col min="6" max="6" width="18" style="12" customWidth="1"/>
    <col min="7" max="8" width="14.140625" style="11" customWidth="1"/>
    <col min="9" max="9" width="14.85546875" style="12" customWidth="1"/>
    <col min="10" max="13" width="9.42578125" style="12" customWidth="1"/>
    <col min="14" max="14" width="9.42578125" style="12" hidden="1" customWidth="1"/>
    <col min="15" max="15" width="9.7109375" style="12" hidden="1" customWidth="1"/>
    <col min="16" max="16" width="9.140625" style="12" hidden="1" customWidth="1"/>
    <col min="17" max="17" width="12.42578125" style="12" hidden="1" customWidth="1"/>
    <col min="18" max="18" width="11.42578125" style="12" hidden="1" customWidth="1"/>
    <col min="19" max="19" width="9.140625" style="12" hidden="1" customWidth="1"/>
    <col min="20" max="20" width="10.85546875" style="12" hidden="1" customWidth="1"/>
    <col min="21" max="21" width="11.7109375" style="12" hidden="1" customWidth="1"/>
    <col min="22" max="22" width="15.5703125" style="12" customWidth="1"/>
    <col min="23" max="16384" width="9.140625" style="12"/>
  </cols>
  <sheetData>
    <row r="1" spans="1:24" s="18" customFormat="1" ht="24">
      <c r="A1" s="14" t="s">
        <v>23</v>
      </c>
      <c r="B1" s="14" t="s">
        <v>79</v>
      </c>
      <c r="C1" s="15" t="s">
        <v>24</v>
      </c>
      <c r="D1" s="15" t="s">
        <v>22</v>
      </c>
      <c r="E1" s="15" t="s">
        <v>25</v>
      </c>
      <c r="F1" s="48" t="s">
        <v>38</v>
      </c>
      <c r="G1" s="16" t="s">
        <v>97</v>
      </c>
      <c r="H1" s="16" t="s">
        <v>99</v>
      </c>
      <c r="I1" s="16" t="s">
        <v>152</v>
      </c>
      <c r="J1" s="17" t="s">
        <v>37</v>
      </c>
      <c r="K1" s="17" t="s">
        <v>1</v>
      </c>
      <c r="L1" s="17" t="s">
        <v>2</v>
      </c>
      <c r="M1" s="17" t="s">
        <v>3</v>
      </c>
      <c r="N1" s="17" t="s">
        <v>4</v>
      </c>
      <c r="O1" s="17" t="s">
        <v>5</v>
      </c>
      <c r="P1" s="17" t="s">
        <v>6</v>
      </c>
      <c r="Q1" s="17" t="s">
        <v>7</v>
      </c>
      <c r="R1" s="17" t="s">
        <v>8</v>
      </c>
      <c r="S1" s="17" t="s">
        <v>9</v>
      </c>
      <c r="T1" s="17" t="s">
        <v>10</v>
      </c>
      <c r="U1" s="17" t="s">
        <v>11</v>
      </c>
      <c r="V1" s="16" t="s">
        <v>101</v>
      </c>
      <c r="W1" s="16" t="s">
        <v>102</v>
      </c>
      <c r="X1" s="18" t="s">
        <v>166</v>
      </c>
    </row>
    <row r="2" spans="1:24" ht="38.25">
      <c r="A2" s="22" t="s">
        <v>0</v>
      </c>
      <c r="B2" s="30" t="s">
        <v>80</v>
      </c>
      <c r="C2" s="31" t="s">
        <v>69</v>
      </c>
      <c r="D2" s="23" t="s">
        <v>71</v>
      </c>
      <c r="E2" s="32" t="s">
        <v>27</v>
      </c>
      <c r="F2" s="36">
        <v>3208</v>
      </c>
      <c r="G2" s="34">
        <v>0.33</v>
      </c>
      <c r="H2" s="35">
        <f>F2*0.33</f>
        <v>1058.6400000000001</v>
      </c>
      <c r="I2" s="35" t="s">
        <v>117</v>
      </c>
      <c r="J2" s="37">
        <v>83</v>
      </c>
      <c r="K2" s="37">
        <v>79</v>
      </c>
      <c r="L2" s="37">
        <v>70</v>
      </c>
      <c r="M2" s="37">
        <v>87</v>
      </c>
      <c r="N2" s="38"/>
      <c r="O2" s="38"/>
      <c r="P2" s="39"/>
      <c r="Q2" s="39"/>
      <c r="R2" s="39"/>
      <c r="S2" s="39"/>
      <c r="T2" s="39"/>
      <c r="U2" s="39"/>
      <c r="V2" s="39">
        <f>SUM(J2:U2)</f>
        <v>319</v>
      </c>
      <c r="W2" s="40">
        <f>V2/H2</f>
        <v>0.30133000831255191</v>
      </c>
      <c r="X2" s="12">
        <v>3117</v>
      </c>
    </row>
    <row r="3" spans="1:24" ht="51">
      <c r="A3" s="22" t="s">
        <v>0</v>
      </c>
      <c r="B3" s="30" t="s">
        <v>81</v>
      </c>
      <c r="C3" s="31" t="s">
        <v>50</v>
      </c>
      <c r="D3" s="23" t="s">
        <v>49</v>
      </c>
      <c r="E3" s="33" t="s">
        <v>48</v>
      </c>
      <c r="F3" s="36" t="s">
        <v>103</v>
      </c>
      <c r="G3" s="34">
        <v>1</v>
      </c>
      <c r="H3" s="34">
        <v>1</v>
      </c>
      <c r="I3" s="35"/>
      <c r="J3" s="37">
        <v>3</v>
      </c>
      <c r="K3" s="37">
        <v>6</v>
      </c>
      <c r="L3" s="37">
        <v>3</v>
      </c>
      <c r="M3" s="37">
        <v>11</v>
      </c>
      <c r="N3" s="38"/>
      <c r="O3" s="38"/>
      <c r="P3" s="39"/>
      <c r="Q3" s="39"/>
      <c r="R3" s="39"/>
      <c r="S3" s="39"/>
      <c r="T3" s="39"/>
      <c r="U3" s="39"/>
      <c r="V3" s="39">
        <f>SUM(J3:U3)</f>
        <v>23</v>
      </c>
      <c r="W3" s="41">
        <f>V3/V2</f>
        <v>7.2100313479623826E-2</v>
      </c>
    </row>
    <row r="4" spans="1:24" ht="51">
      <c r="A4" s="22" t="s">
        <v>0</v>
      </c>
      <c r="B4" s="30" t="s">
        <v>82</v>
      </c>
      <c r="C4" s="31" t="s">
        <v>70</v>
      </c>
      <c r="D4" s="32" t="s">
        <v>72</v>
      </c>
      <c r="E4" s="42" t="s">
        <v>26</v>
      </c>
      <c r="F4" s="36">
        <v>18802</v>
      </c>
      <c r="G4" s="34">
        <v>0.2</v>
      </c>
      <c r="H4" s="35">
        <f>F4*0.2</f>
        <v>3760.4</v>
      </c>
      <c r="I4" s="35" t="s">
        <v>123</v>
      </c>
      <c r="J4" s="37">
        <v>23</v>
      </c>
      <c r="K4" s="37">
        <v>22</v>
      </c>
      <c r="L4" s="37">
        <v>61</v>
      </c>
      <c r="M4" s="37">
        <v>56</v>
      </c>
      <c r="N4" s="38"/>
      <c r="O4" s="38"/>
      <c r="P4" s="37"/>
      <c r="Q4" s="39"/>
      <c r="R4" s="39"/>
      <c r="S4" s="39"/>
      <c r="T4" s="39"/>
      <c r="U4" s="39"/>
      <c r="V4" s="39">
        <f t="shared" ref="V4:V18" si="0">SUM(J4:U4)</f>
        <v>162</v>
      </c>
      <c r="W4" s="40">
        <f t="shared" ref="W4:W16" si="1">V4/H4</f>
        <v>4.3080523348579938E-2</v>
      </c>
    </row>
    <row r="5" spans="1:24" ht="38.25">
      <c r="A5" s="22" t="s">
        <v>0</v>
      </c>
      <c r="B5" s="30" t="s">
        <v>83</v>
      </c>
      <c r="C5" s="31" t="s">
        <v>51</v>
      </c>
      <c r="D5" s="31" t="s">
        <v>46</v>
      </c>
      <c r="E5" s="43" t="s">
        <v>45</v>
      </c>
      <c r="F5" s="36" t="s">
        <v>103</v>
      </c>
      <c r="G5" s="34">
        <v>1</v>
      </c>
      <c r="H5" s="34">
        <v>1</v>
      </c>
      <c r="I5" s="35"/>
      <c r="J5" s="37">
        <v>7</v>
      </c>
      <c r="K5" s="37">
        <v>10</v>
      </c>
      <c r="L5" s="37">
        <v>12</v>
      </c>
      <c r="M5" s="37">
        <v>13</v>
      </c>
      <c r="N5" s="38"/>
      <c r="O5" s="38"/>
      <c r="P5" s="37"/>
      <c r="Q5" s="39"/>
      <c r="R5" s="39"/>
      <c r="S5" s="39"/>
      <c r="T5" s="39"/>
      <c r="U5" s="39"/>
      <c r="V5" s="39">
        <f t="shared" si="0"/>
        <v>42</v>
      </c>
      <c r="W5" s="40">
        <f>V5/V4</f>
        <v>0.25925925925925924</v>
      </c>
    </row>
    <row r="6" spans="1:24" ht="51">
      <c r="A6" s="22" t="s">
        <v>0</v>
      </c>
      <c r="B6" s="22" t="s">
        <v>84</v>
      </c>
      <c r="C6" s="23" t="s">
        <v>18</v>
      </c>
      <c r="D6" s="23" t="s">
        <v>52</v>
      </c>
      <c r="E6" s="32" t="s">
        <v>47</v>
      </c>
      <c r="F6" s="36" t="s">
        <v>103</v>
      </c>
      <c r="G6" s="34">
        <v>1</v>
      </c>
      <c r="H6" s="34">
        <v>1</v>
      </c>
      <c r="I6" s="35"/>
      <c r="J6" s="37">
        <v>1</v>
      </c>
      <c r="K6" s="37">
        <v>4</v>
      </c>
      <c r="L6" s="37">
        <v>4</v>
      </c>
      <c r="M6" s="37">
        <v>8</v>
      </c>
      <c r="N6" s="38"/>
      <c r="O6" s="38"/>
      <c r="P6" s="37"/>
      <c r="Q6" s="39"/>
      <c r="R6" s="39"/>
      <c r="S6" s="39"/>
      <c r="T6" s="39"/>
      <c r="U6" s="39"/>
      <c r="V6" s="39">
        <f t="shared" si="0"/>
        <v>17</v>
      </c>
      <c r="W6" s="40">
        <f>V6/V3</f>
        <v>0.73913043478260865</v>
      </c>
    </row>
    <row r="7" spans="1:24" ht="56.25" customHeight="1">
      <c r="A7" s="22" t="s">
        <v>12</v>
      </c>
      <c r="B7" s="24" t="s">
        <v>85</v>
      </c>
      <c r="C7" s="23" t="s">
        <v>53</v>
      </c>
      <c r="D7" s="23" t="s">
        <v>73</v>
      </c>
      <c r="E7" s="32" t="s">
        <v>28</v>
      </c>
      <c r="F7" s="36">
        <v>14827</v>
      </c>
      <c r="G7" s="34">
        <v>1</v>
      </c>
      <c r="H7" s="35">
        <f>F7*1</f>
        <v>14827</v>
      </c>
      <c r="I7" s="35"/>
      <c r="J7" s="37">
        <v>451</v>
      </c>
      <c r="K7" s="37">
        <v>506</v>
      </c>
      <c r="L7" s="37">
        <v>661</v>
      </c>
      <c r="M7" s="37">
        <v>499</v>
      </c>
      <c r="N7" s="38"/>
      <c r="O7" s="38"/>
      <c r="P7" s="37"/>
      <c r="Q7" s="39"/>
      <c r="R7" s="39"/>
      <c r="S7" s="39"/>
      <c r="T7" s="39"/>
      <c r="U7" s="39"/>
      <c r="V7" s="39">
        <f t="shared" si="0"/>
        <v>2117</v>
      </c>
      <c r="W7" s="40">
        <f t="shared" si="1"/>
        <v>0.14278006339785526</v>
      </c>
      <c r="X7" s="12">
        <v>15344</v>
      </c>
    </row>
    <row r="8" spans="1:24" ht="54" customHeight="1">
      <c r="A8" s="22" t="s">
        <v>12</v>
      </c>
      <c r="B8" s="25" t="s">
        <v>86</v>
      </c>
      <c r="C8" s="26" t="s">
        <v>54</v>
      </c>
      <c r="D8" s="26" t="s">
        <v>55</v>
      </c>
      <c r="E8" s="33" t="s">
        <v>29</v>
      </c>
      <c r="F8" s="36">
        <v>9972</v>
      </c>
      <c r="G8" s="34">
        <v>0.5</v>
      </c>
      <c r="H8" s="35">
        <f>F8*0.5</f>
        <v>4986</v>
      </c>
      <c r="I8" s="35" t="s">
        <v>124</v>
      </c>
      <c r="J8" s="37">
        <v>239</v>
      </c>
      <c r="K8" s="37">
        <v>308</v>
      </c>
      <c r="L8" s="37">
        <v>285</v>
      </c>
      <c r="M8" s="37">
        <v>265</v>
      </c>
      <c r="N8" s="38"/>
      <c r="O8" s="38"/>
      <c r="P8" s="37"/>
      <c r="Q8" s="39"/>
      <c r="R8" s="39"/>
      <c r="S8" s="39"/>
      <c r="T8" s="39"/>
      <c r="U8" s="39"/>
      <c r="V8" s="39">
        <f t="shared" si="0"/>
        <v>1097</v>
      </c>
      <c r="W8" s="40">
        <f t="shared" si="1"/>
        <v>0.22001604492579221</v>
      </c>
      <c r="X8" s="12">
        <v>10418</v>
      </c>
    </row>
    <row r="9" spans="1:24" ht="54" customHeight="1">
      <c r="A9" s="22" t="s">
        <v>12</v>
      </c>
      <c r="B9" s="25" t="s">
        <v>87</v>
      </c>
      <c r="C9" s="26" t="s">
        <v>57</v>
      </c>
      <c r="D9" s="26" t="s">
        <v>74</v>
      </c>
      <c r="E9" s="33" t="s">
        <v>56</v>
      </c>
      <c r="F9" s="36" t="s">
        <v>103</v>
      </c>
      <c r="G9" s="34">
        <v>1</v>
      </c>
      <c r="H9" s="34">
        <v>1</v>
      </c>
      <c r="I9" s="35"/>
      <c r="J9" s="37">
        <v>0</v>
      </c>
      <c r="K9" s="37">
        <v>1</v>
      </c>
      <c r="L9" s="37">
        <v>0</v>
      </c>
      <c r="M9" s="37">
        <v>0</v>
      </c>
      <c r="N9" s="38"/>
      <c r="O9" s="38"/>
      <c r="P9" s="37"/>
      <c r="Q9" s="39"/>
      <c r="R9" s="39"/>
      <c r="S9" s="39"/>
      <c r="T9" s="39"/>
      <c r="U9" s="39"/>
      <c r="V9" s="39">
        <f t="shared" si="0"/>
        <v>1</v>
      </c>
      <c r="W9" s="40">
        <f>V9/V8</f>
        <v>9.1157702825888785E-4</v>
      </c>
    </row>
    <row r="10" spans="1:24" ht="65.25" customHeight="1">
      <c r="A10" s="27" t="s">
        <v>12</v>
      </c>
      <c r="B10" s="28" t="s">
        <v>88</v>
      </c>
      <c r="C10" s="29" t="s">
        <v>58</v>
      </c>
      <c r="D10" s="29" t="s">
        <v>75</v>
      </c>
      <c r="E10" s="42" t="s">
        <v>30</v>
      </c>
      <c r="F10" s="36" t="s">
        <v>103</v>
      </c>
      <c r="G10" s="34">
        <v>1</v>
      </c>
      <c r="H10" s="34">
        <v>1</v>
      </c>
      <c r="I10" s="35"/>
      <c r="J10" s="37">
        <v>0</v>
      </c>
      <c r="K10" s="37">
        <v>1</v>
      </c>
      <c r="L10" s="37">
        <v>0</v>
      </c>
      <c r="M10" s="37">
        <v>0</v>
      </c>
      <c r="N10" s="38"/>
      <c r="O10" s="38"/>
      <c r="P10" s="37"/>
      <c r="Q10" s="39"/>
      <c r="R10" s="39"/>
      <c r="S10" s="39"/>
      <c r="T10" s="39"/>
      <c r="U10" s="39"/>
      <c r="V10" s="39">
        <f t="shared" si="0"/>
        <v>1</v>
      </c>
      <c r="W10" s="40">
        <f>V10/V8</f>
        <v>9.1157702825888785E-4</v>
      </c>
    </row>
    <row r="11" spans="1:24" ht="55.5" customHeight="1">
      <c r="A11" s="22" t="s">
        <v>13</v>
      </c>
      <c r="B11" s="22" t="s">
        <v>89</v>
      </c>
      <c r="C11" s="23" t="s">
        <v>21</v>
      </c>
      <c r="D11" s="23" t="s">
        <v>76</v>
      </c>
      <c r="E11" s="32" t="s">
        <v>31</v>
      </c>
      <c r="F11" s="36">
        <v>9593</v>
      </c>
      <c r="G11" s="34">
        <v>0.2</v>
      </c>
      <c r="H11" s="35">
        <f>F11*0.2</f>
        <v>1918.6000000000001</v>
      </c>
      <c r="I11" s="35" t="s">
        <v>137</v>
      </c>
      <c r="J11" s="37">
        <v>394</v>
      </c>
      <c r="K11" s="37">
        <v>396</v>
      </c>
      <c r="L11" s="37">
        <v>368</v>
      </c>
      <c r="M11" s="37">
        <v>231</v>
      </c>
      <c r="N11" s="38"/>
      <c r="O11" s="38"/>
      <c r="P11" s="37"/>
      <c r="Q11" s="39"/>
      <c r="R11" s="39"/>
      <c r="S11" s="39"/>
      <c r="T11" s="39"/>
      <c r="U11" s="39"/>
      <c r="V11" s="39">
        <f t="shared" si="0"/>
        <v>1389</v>
      </c>
      <c r="W11" s="40">
        <f t="shared" si="1"/>
        <v>0.72396539143125194</v>
      </c>
      <c r="X11" s="12">
        <v>10170</v>
      </c>
    </row>
    <row r="12" spans="1:24" ht="54.75" customHeight="1">
      <c r="A12" s="4" t="s">
        <v>13</v>
      </c>
      <c r="B12" s="5" t="s">
        <v>90</v>
      </c>
      <c r="C12" s="1" t="s">
        <v>19</v>
      </c>
      <c r="D12" s="1" t="s">
        <v>77</v>
      </c>
      <c r="E12" s="44" t="s">
        <v>31</v>
      </c>
      <c r="F12" s="36">
        <v>9593</v>
      </c>
      <c r="G12" s="34">
        <v>0.2</v>
      </c>
      <c r="H12" s="35">
        <f>F12*0.2</f>
        <v>1918.6000000000001</v>
      </c>
      <c r="I12" s="35" t="s">
        <v>138</v>
      </c>
      <c r="J12" s="37">
        <v>267</v>
      </c>
      <c r="K12" s="37">
        <v>509</v>
      </c>
      <c r="L12" s="37">
        <v>453</v>
      </c>
      <c r="M12" s="37">
        <v>470</v>
      </c>
      <c r="N12" s="38"/>
      <c r="O12" s="38"/>
      <c r="P12" s="37"/>
      <c r="Q12" s="39"/>
      <c r="R12" s="39"/>
      <c r="S12" s="39"/>
      <c r="T12" s="39"/>
      <c r="U12" s="39"/>
      <c r="V12" s="39">
        <f t="shared" si="0"/>
        <v>1699</v>
      </c>
      <c r="W12" s="40">
        <f t="shared" si="1"/>
        <v>0.88554154070676527</v>
      </c>
    </row>
    <row r="13" spans="1:24" ht="63" customHeight="1">
      <c r="A13" s="8" t="s">
        <v>13</v>
      </c>
      <c r="B13" s="7" t="s">
        <v>91</v>
      </c>
      <c r="C13" s="3" t="s">
        <v>20</v>
      </c>
      <c r="D13" s="3" t="s">
        <v>59</v>
      </c>
      <c r="E13" s="45" t="s">
        <v>31</v>
      </c>
      <c r="F13" s="36">
        <v>9593</v>
      </c>
      <c r="G13" s="34">
        <v>0.2</v>
      </c>
      <c r="H13" s="35">
        <f>F13*0.2</f>
        <v>1918.6000000000001</v>
      </c>
      <c r="I13" s="35" t="s">
        <v>151</v>
      </c>
      <c r="J13" s="37">
        <v>116</v>
      </c>
      <c r="K13" s="37">
        <v>116</v>
      </c>
      <c r="L13" s="37">
        <v>116</v>
      </c>
      <c r="M13" s="37">
        <v>119</v>
      </c>
      <c r="N13" s="38"/>
      <c r="O13" s="38"/>
      <c r="P13" s="37"/>
      <c r="Q13" s="39"/>
      <c r="R13" s="39"/>
      <c r="S13" s="39"/>
      <c r="T13" s="39"/>
      <c r="U13" s="39"/>
      <c r="V13" s="39">
        <f t="shared" si="0"/>
        <v>467</v>
      </c>
      <c r="W13" s="40">
        <f t="shared" si="1"/>
        <v>0.24340665068278952</v>
      </c>
    </row>
    <row r="14" spans="1:24" ht="63" customHeight="1">
      <c r="A14" s="9" t="s">
        <v>13</v>
      </c>
      <c r="B14" s="6" t="s">
        <v>104</v>
      </c>
      <c r="C14" s="2" t="s">
        <v>92</v>
      </c>
      <c r="D14" s="2" t="s">
        <v>61</v>
      </c>
      <c r="E14" s="46" t="s">
        <v>60</v>
      </c>
      <c r="F14" s="36" t="s">
        <v>103</v>
      </c>
      <c r="G14" s="34">
        <v>1</v>
      </c>
      <c r="H14" s="34">
        <v>1</v>
      </c>
      <c r="I14" s="35"/>
      <c r="J14" s="37">
        <v>33</v>
      </c>
      <c r="K14" s="37">
        <v>63</v>
      </c>
      <c r="L14" s="37">
        <v>37</v>
      </c>
      <c r="M14" s="37">
        <v>62</v>
      </c>
      <c r="N14" s="38"/>
      <c r="O14" s="38"/>
      <c r="P14" s="37"/>
      <c r="Q14" s="39"/>
      <c r="R14" s="39"/>
      <c r="S14" s="39"/>
      <c r="T14" s="39"/>
      <c r="U14" s="39"/>
      <c r="V14" s="39">
        <f t="shared" si="0"/>
        <v>195</v>
      </c>
      <c r="W14" s="40">
        <f>V14/V13</f>
        <v>0.41755888650963596</v>
      </c>
    </row>
    <row r="15" spans="1:24" ht="70.5" customHeight="1">
      <c r="A15" s="19" t="s">
        <v>13</v>
      </c>
      <c r="B15" s="20" t="s">
        <v>93</v>
      </c>
      <c r="C15" s="21" t="s">
        <v>34</v>
      </c>
      <c r="D15" s="21" t="s">
        <v>32</v>
      </c>
      <c r="E15" s="47" t="s">
        <v>33</v>
      </c>
      <c r="F15" s="36" t="s">
        <v>103</v>
      </c>
      <c r="G15" s="34">
        <v>1</v>
      </c>
      <c r="H15" s="34">
        <v>1</v>
      </c>
      <c r="I15" s="35"/>
      <c r="J15" s="37" t="s">
        <v>153</v>
      </c>
      <c r="K15" s="37" t="s">
        <v>153</v>
      </c>
      <c r="L15" s="37" t="s">
        <v>153</v>
      </c>
      <c r="M15" s="37" t="s">
        <v>153</v>
      </c>
      <c r="N15" s="38"/>
      <c r="O15" s="38"/>
      <c r="P15" s="37"/>
      <c r="Q15" s="39"/>
      <c r="R15" s="39"/>
      <c r="S15" s="39"/>
      <c r="T15" s="39"/>
      <c r="U15" s="39"/>
      <c r="V15" s="39">
        <f t="shared" si="0"/>
        <v>0</v>
      </c>
      <c r="W15" s="40">
        <f>V15/V14</f>
        <v>0</v>
      </c>
    </row>
    <row r="16" spans="1:24" ht="63.75">
      <c r="A16" s="9" t="s">
        <v>14</v>
      </c>
      <c r="B16" s="6" t="s">
        <v>94</v>
      </c>
      <c r="C16" s="2" t="s">
        <v>64</v>
      </c>
      <c r="D16" s="2" t="s">
        <v>63</v>
      </c>
      <c r="E16" s="46" t="s">
        <v>62</v>
      </c>
      <c r="F16" s="36">
        <v>21667</v>
      </c>
      <c r="G16" s="34">
        <v>0.5</v>
      </c>
      <c r="H16" s="35">
        <f>F16*0.5</f>
        <v>10833.5</v>
      </c>
      <c r="I16" s="35" t="s">
        <v>106</v>
      </c>
      <c r="J16" s="37">
        <v>389</v>
      </c>
      <c r="K16" s="37">
        <v>624</v>
      </c>
      <c r="L16" s="37">
        <v>883</v>
      </c>
      <c r="M16" s="37">
        <v>592</v>
      </c>
      <c r="N16" s="38"/>
      <c r="O16" s="38"/>
      <c r="P16" s="37"/>
      <c r="Q16" s="39"/>
      <c r="R16" s="39"/>
      <c r="S16" s="39"/>
      <c r="T16" s="39"/>
      <c r="U16" s="39"/>
      <c r="V16" s="39">
        <f t="shared" si="0"/>
        <v>2488</v>
      </c>
      <c r="W16" s="40">
        <f t="shared" si="1"/>
        <v>0.22965800526145752</v>
      </c>
    </row>
    <row r="17" spans="1:23" ht="58.5" customHeight="1">
      <c r="A17" s="9" t="s">
        <v>14</v>
      </c>
      <c r="B17" s="6" t="s">
        <v>95</v>
      </c>
      <c r="C17" s="2" t="s">
        <v>67</v>
      </c>
      <c r="D17" s="2" t="s">
        <v>66</v>
      </c>
      <c r="E17" s="46" t="s">
        <v>65</v>
      </c>
      <c r="F17" s="36" t="s">
        <v>103</v>
      </c>
      <c r="G17" s="34">
        <v>1</v>
      </c>
      <c r="H17" s="34">
        <v>1</v>
      </c>
      <c r="I17" s="35"/>
      <c r="J17" s="37">
        <v>14</v>
      </c>
      <c r="K17" s="37">
        <v>34</v>
      </c>
      <c r="L17" s="37">
        <v>37</v>
      </c>
      <c r="M17" s="37">
        <v>30</v>
      </c>
      <c r="N17" s="38"/>
      <c r="O17" s="38"/>
      <c r="P17" s="37"/>
      <c r="Q17" s="39"/>
      <c r="R17" s="39"/>
      <c r="S17" s="39"/>
      <c r="T17" s="39"/>
      <c r="U17" s="39"/>
      <c r="V17" s="39">
        <f t="shared" si="0"/>
        <v>115</v>
      </c>
      <c r="W17" s="40">
        <f>V17/V16</f>
        <v>4.6221864951768492E-2</v>
      </c>
    </row>
    <row r="18" spans="1:23" ht="76.5">
      <c r="A18" s="9" t="s">
        <v>14</v>
      </c>
      <c r="B18" s="6" t="s">
        <v>96</v>
      </c>
      <c r="C18" s="2" t="s">
        <v>36</v>
      </c>
      <c r="D18" s="2" t="s">
        <v>68</v>
      </c>
      <c r="E18" s="46" t="s">
        <v>35</v>
      </c>
      <c r="F18" s="36" t="s">
        <v>103</v>
      </c>
      <c r="G18" s="34">
        <v>1</v>
      </c>
      <c r="H18" s="34">
        <v>1</v>
      </c>
      <c r="I18" s="35"/>
      <c r="J18" s="37">
        <v>0</v>
      </c>
      <c r="K18" s="37">
        <v>0</v>
      </c>
      <c r="L18" s="37">
        <v>0</v>
      </c>
      <c r="M18" s="37">
        <v>0</v>
      </c>
      <c r="N18" s="38"/>
      <c r="O18" s="38"/>
      <c r="P18" s="37"/>
      <c r="Q18" s="39"/>
      <c r="R18" s="39"/>
      <c r="S18" s="39"/>
      <c r="T18" s="39"/>
      <c r="U18" s="39"/>
      <c r="V18" s="39">
        <f t="shared" si="0"/>
        <v>0</v>
      </c>
      <c r="W18" s="40">
        <f>V18/V17</f>
        <v>0</v>
      </c>
    </row>
    <row r="21" spans="1:23">
      <c r="A21" s="12" t="s">
        <v>159</v>
      </c>
    </row>
    <row r="22" spans="1:23">
      <c r="A22" s="50">
        <v>46129</v>
      </c>
      <c r="B22" s="12" t="s">
        <v>161</v>
      </c>
    </row>
    <row r="23" spans="1:23">
      <c r="A23" s="12" t="s">
        <v>160</v>
      </c>
    </row>
    <row r="24" spans="1:23">
      <c r="A24" s="12" t="s">
        <v>162</v>
      </c>
    </row>
    <row r="25" spans="1:23">
      <c r="A25" s="12" t="s">
        <v>164</v>
      </c>
    </row>
    <row r="26" spans="1:23">
      <c r="A26" s="12" t="s">
        <v>163</v>
      </c>
    </row>
    <row r="27" spans="1:23">
      <c r="A27" s="12" t="s">
        <v>165</v>
      </c>
    </row>
    <row r="29" spans="1:23" ht="36" customHeight="1">
      <c r="A29" s="67" t="s">
        <v>188</v>
      </c>
      <c r="B29" s="68" t="s">
        <v>189</v>
      </c>
      <c r="C29" s="69"/>
      <c r="D29" s="69"/>
      <c r="E29" s="69"/>
      <c r="K29" s="12">
        <f>23/17</f>
        <v>1.3529411764705883</v>
      </c>
    </row>
  </sheetData>
  <autoFilter ref="A1:W18" xr:uid="{00000000-0001-0000-0000-000000000000}"/>
  <mergeCells count="1">
    <mergeCell ref="B29:E29"/>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X27"/>
  <sheetViews>
    <sheetView topLeftCell="B1" zoomScale="85" zoomScaleNormal="85" workbookViewId="0">
      <pane ySplit="1" topLeftCell="A14" activePane="bottomLeft" state="frozen"/>
      <selection activeCell="B1" sqref="B1"/>
      <selection pane="bottomLeft" activeCell="J3" sqref="J3"/>
    </sheetView>
  </sheetViews>
  <sheetFormatPr baseColWidth="10" defaultColWidth="9.140625" defaultRowHeight="12.75"/>
  <cols>
    <col min="1" max="1" width="11.5703125" style="12" customWidth="1"/>
    <col min="2" max="2" width="15.85546875" style="12" customWidth="1"/>
    <col min="3" max="3" width="37.5703125" style="12" customWidth="1"/>
    <col min="4" max="4" width="34.5703125" style="12" customWidth="1"/>
    <col min="5" max="5" width="33.42578125" style="12" customWidth="1"/>
    <col min="6" max="6" width="18" style="12" customWidth="1"/>
    <col min="7" max="8" width="14.140625" style="11" customWidth="1"/>
    <col min="9" max="9" width="14.85546875" style="12" customWidth="1"/>
    <col min="10" max="13" width="9.42578125" style="12" customWidth="1"/>
    <col min="14" max="14" width="9.42578125" style="12" hidden="1" customWidth="1"/>
    <col min="15" max="15" width="9.7109375" style="12" hidden="1" customWidth="1"/>
    <col min="16" max="16" width="9.140625" style="12" hidden="1" customWidth="1"/>
    <col min="17" max="17" width="12.42578125" style="12" hidden="1" customWidth="1"/>
    <col min="18" max="18" width="11.42578125" style="12" hidden="1" customWidth="1"/>
    <col min="19" max="19" width="9.140625" style="12" hidden="1" customWidth="1"/>
    <col min="20" max="20" width="10.85546875" style="12" hidden="1" customWidth="1"/>
    <col min="21" max="21" width="11.7109375" style="12" hidden="1" customWidth="1"/>
    <col min="22" max="22" width="15.5703125" style="12" customWidth="1"/>
    <col min="23" max="16384" width="9.140625" style="12"/>
  </cols>
  <sheetData>
    <row r="1" spans="1:24" s="18" customFormat="1" ht="24">
      <c r="A1" s="14" t="s">
        <v>23</v>
      </c>
      <c r="B1" s="14" t="s">
        <v>79</v>
      </c>
      <c r="C1" s="15" t="s">
        <v>24</v>
      </c>
      <c r="D1" s="15" t="s">
        <v>22</v>
      </c>
      <c r="E1" s="15" t="s">
        <v>25</v>
      </c>
      <c r="F1" s="48" t="s">
        <v>38</v>
      </c>
      <c r="G1" s="16" t="s">
        <v>97</v>
      </c>
      <c r="H1" s="16" t="s">
        <v>99</v>
      </c>
      <c r="I1" s="16" t="s">
        <v>152</v>
      </c>
      <c r="J1" s="17" t="s">
        <v>37</v>
      </c>
      <c r="K1" s="17" t="s">
        <v>1</v>
      </c>
      <c r="L1" s="17" t="s">
        <v>2</v>
      </c>
      <c r="M1" s="17" t="s">
        <v>3</v>
      </c>
      <c r="N1" s="17" t="s">
        <v>4</v>
      </c>
      <c r="O1" s="17" t="s">
        <v>5</v>
      </c>
      <c r="P1" s="17" t="s">
        <v>6</v>
      </c>
      <c r="Q1" s="17" t="s">
        <v>7</v>
      </c>
      <c r="R1" s="17" t="s">
        <v>8</v>
      </c>
      <c r="S1" s="17" t="s">
        <v>9</v>
      </c>
      <c r="T1" s="17" t="s">
        <v>10</v>
      </c>
      <c r="U1" s="17" t="s">
        <v>11</v>
      </c>
      <c r="V1" s="16" t="s">
        <v>101</v>
      </c>
      <c r="W1" s="16" t="s">
        <v>102</v>
      </c>
      <c r="X1" s="18" t="s">
        <v>166</v>
      </c>
    </row>
    <row r="2" spans="1:24" ht="38.25">
      <c r="A2" s="22" t="s">
        <v>0</v>
      </c>
      <c r="B2" s="30" t="s">
        <v>80</v>
      </c>
      <c r="C2" s="31" t="s">
        <v>69</v>
      </c>
      <c r="D2" s="23" t="s">
        <v>71</v>
      </c>
      <c r="E2" s="32" t="s">
        <v>27</v>
      </c>
      <c r="F2" s="36">
        <v>3208</v>
      </c>
      <c r="G2" s="34">
        <v>0.33</v>
      </c>
      <c r="H2" s="35">
        <f>F2*0.33</f>
        <v>1058.6400000000001</v>
      </c>
      <c r="I2" s="35" t="s">
        <v>117</v>
      </c>
      <c r="J2" s="37">
        <v>77</v>
      </c>
      <c r="K2" s="37">
        <v>70</v>
      </c>
      <c r="L2" s="49">
        <v>2081</v>
      </c>
      <c r="M2" s="37"/>
      <c r="N2" s="38"/>
      <c r="O2" s="38"/>
      <c r="P2" s="39"/>
      <c r="Q2" s="39"/>
      <c r="R2" s="39"/>
      <c r="S2" s="39"/>
      <c r="T2" s="39"/>
      <c r="U2" s="39"/>
      <c r="V2" s="39">
        <f>SUM(J2:U2)</f>
        <v>2228</v>
      </c>
      <c r="W2" s="40">
        <f>V2/H2</f>
        <v>2.1045870173052217</v>
      </c>
      <c r="X2" s="12">
        <v>3117</v>
      </c>
    </row>
    <row r="3" spans="1:24" ht="51">
      <c r="A3" s="22" t="s">
        <v>0</v>
      </c>
      <c r="B3" s="30" t="s">
        <v>81</v>
      </c>
      <c r="C3" s="31" t="s">
        <v>50</v>
      </c>
      <c r="D3" s="23" t="s">
        <v>49</v>
      </c>
      <c r="E3" s="33" t="s">
        <v>48</v>
      </c>
      <c r="F3" s="36" t="s">
        <v>103</v>
      </c>
      <c r="G3" s="34">
        <v>1</v>
      </c>
      <c r="H3" s="34">
        <v>1</v>
      </c>
      <c r="I3" s="35"/>
      <c r="J3" s="37">
        <v>1</v>
      </c>
      <c r="K3" s="37">
        <v>2</v>
      </c>
      <c r="L3" s="37">
        <v>2</v>
      </c>
      <c r="M3" s="37"/>
      <c r="N3" s="38"/>
      <c r="O3" s="38"/>
      <c r="P3" s="39"/>
      <c r="Q3" s="39"/>
      <c r="R3" s="39"/>
      <c r="S3" s="39"/>
      <c r="T3" s="39"/>
      <c r="U3" s="39"/>
      <c r="V3" s="39">
        <f>SUM(J3:U3)</f>
        <v>5</v>
      </c>
      <c r="W3" s="41">
        <f>V3/V2</f>
        <v>2.244165170556553E-3</v>
      </c>
    </row>
    <row r="4" spans="1:24" ht="51">
      <c r="A4" s="22" t="s">
        <v>0</v>
      </c>
      <c r="B4" s="30" t="s">
        <v>82</v>
      </c>
      <c r="C4" s="31" t="s">
        <v>70</v>
      </c>
      <c r="D4" s="32" t="s">
        <v>72</v>
      </c>
      <c r="E4" s="42" t="s">
        <v>26</v>
      </c>
      <c r="F4" s="36">
        <v>18802</v>
      </c>
      <c r="G4" s="34">
        <v>0.2</v>
      </c>
      <c r="H4" s="35">
        <f>F4*0.2</f>
        <v>3760.4</v>
      </c>
      <c r="I4" s="35" t="s">
        <v>123</v>
      </c>
      <c r="J4" s="37">
        <v>20</v>
      </c>
      <c r="K4" s="37">
        <v>22</v>
      </c>
      <c r="L4" s="37">
        <v>66</v>
      </c>
      <c r="M4" s="37"/>
      <c r="N4" s="38"/>
      <c r="O4" s="38"/>
      <c r="P4" s="37"/>
      <c r="Q4" s="39"/>
      <c r="R4" s="39"/>
      <c r="S4" s="39"/>
      <c r="T4" s="39"/>
      <c r="U4" s="39"/>
      <c r="V4" s="39">
        <f t="shared" ref="V4:V18" si="0">SUM(J4:U4)</f>
        <v>108</v>
      </c>
      <c r="W4" s="40">
        <f t="shared" ref="W4:W16" si="1">V4/H4</f>
        <v>2.872034889905329E-2</v>
      </c>
    </row>
    <row r="5" spans="1:24" ht="38.25">
      <c r="A5" s="22" t="s">
        <v>0</v>
      </c>
      <c r="B5" s="30" t="s">
        <v>83</v>
      </c>
      <c r="C5" s="31" t="s">
        <v>51</v>
      </c>
      <c r="D5" s="31" t="s">
        <v>46</v>
      </c>
      <c r="E5" s="43" t="s">
        <v>45</v>
      </c>
      <c r="F5" s="36" t="s">
        <v>103</v>
      </c>
      <c r="G5" s="34">
        <v>1</v>
      </c>
      <c r="H5" s="34">
        <v>1</v>
      </c>
      <c r="I5" s="35"/>
      <c r="J5" s="37">
        <v>7</v>
      </c>
      <c r="K5" s="37">
        <v>10</v>
      </c>
      <c r="L5" s="37"/>
      <c r="M5" s="37"/>
      <c r="N5" s="38"/>
      <c r="O5" s="38"/>
      <c r="P5" s="37"/>
      <c r="Q5" s="39"/>
      <c r="R5" s="39"/>
      <c r="S5" s="39"/>
      <c r="T5" s="39"/>
      <c r="U5" s="39"/>
      <c r="V5" s="39">
        <f t="shared" si="0"/>
        <v>17</v>
      </c>
      <c r="W5" s="40">
        <f>V5/V4</f>
        <v>0.15740740740740741</v>
      </c>
    </row>
    <row r="6" spans="1:24" ht="51">
      <c r="A6" s="22" t="s">
        <v>0</v>
      </c>
      <c r="B6" s="22" t="s">
        <v>84</v>
      </c>
      <c r="C6" s="23" t="s">
        <v>18</v>
      </c>
      <c r="D6" s="23" t="s">
        <v>52</v>
      </c>
      <c r="E6" s="32" t="s">
        <v>47</v>
      </c>
      <c r="F6" s="36" t="s">
        <v>103</v>
      </c>
      <c r="G6" s="34">
        <v>1</v>
      </c>
      <c r="H6" s="34">
        <v>1</v>
      </c>
      <c r="I6" s="35"/>
      <c r="J6" s="37">
        <v>1</v>
      </c>
      <c r="K6" s="37">
        <v>2</v>
      </c>
      <c r="L6" s="37">
        <v>2</v>
      </c>
      <c r="M6" s="37"/>
      <c r="N6" s="38"/>
      <c r="O6" s="38"/>
      <c r="P6" s="37"/>
      <c r="Q6" s="39"/>
      <c r="R6" s="39"/>
      <c r="S6" s="39"/>
      <c r="T6" s="39"/>
      <c r="U6" s="39"/>
      <c r="V6" s="39">
        <f t="shared" si="0"/>
        <v>5</v>
      </c>
      <c r="W6" s="40">
        <f>V6/V3</f>
        <v>1</v>
      </c>
    </row>
    <row r="7" spans="1:24" ht="56.25" customHeight="1">
      <c r="A7" s="22" t="s">
        <v>12</v>
      </c>
      <c r="B7" s="24" t="s">
        <v>85</v>
      </c>
      <c r="C7" s="23" t="s">
        <v>53</v>
      </c>
      <c r="D7" s="23" t="s">
        <v>73</v>
      </c>
      <c r="E7" s="32" t="s">
        <v>28</v>
      </c>
      <c r="F7" s="36">
        <v>14827</v>
      </c>
      <c r="G7" s="34">
        <v>1</v>
      </c>
      <c r="H7" s="35">
        <f>F7*1</f>
        <v>14827</v>
      </c>
      <c r="I7" s="35"/>
      <c r="J7" s="37">
        <v>451</v>
      </c>
      <c r="K7" s="37">
        <v>501</v>
      </c>
      <c r="L7" s="37"/>
      <c r="M7" s="37"/>
      <c r="N7" s="38"/>
      <c r="O7" s="38"/>
      <c r="P7" s="37"/>
      <c r="Q7" s="39"/>
      <c r="R7" s="39"/>
      <c r="S7" s="39"/>
      <c r="T7" s="39"/>
      <c r="U7" s="39"/>
      <c r="V7" s="39">
        <f t="shared" si="0"/>
        <v>952</v>
      </c>
      <c r="W7" s="40">
        <f t="shared" si="1"/>
        <v>6.4207189586565044E-2</v>
      </c>
      <c r="X7" s="12">
        <v>15344</v>
      </c>
    </row>
    <row r="8" spans="1:24" ht="54" customHeight="1">
      <c r="A8" s="22" t="s">
        <v>12</v>
      </c>
      <c r="B8" s="25" t="s">
        <v>86</v>
      </c>
      <c r="C8" s="26" t="s">
        <v>54</v>
      </c>
      <c r="D8" s="26" t="s">
        <v>55</v>
      </c>
      <c r="E8" s="33" t="s">
        <v>29</v>
      </c>
      <c r="F8" s="36">
        <v>9972</v>
      </c>
      <c r="G8" s="34">
        <v>0.5</v>
      </c>
      <c r="H8" s="35">
        <f>F8*0.5</f>
        <v>4986</v>
      </c>
      <c r="I8" s="35" t="s">
        <v>124</v>
      </c>
      <c r="J8" s="37">
        <v>235</v>
      </c>
      <c r="K8" s="37">
        <v>304</v>
      </c>
      <c r="L8" s="37"/>
      <c r="M8" s="37"/>
      <c r="N8" s="38"/>
      <c r="O8" s="38"/>
      <c r="P8" s="37"/>
      <c r="Q8" s="39"/>
      <c r="R8" s="39"/>
      <c r="S8" s="39"/>
      <c r="T8" s="39"/>
      <c r="U8" s="39"/>
      <c r="V8" s="39">
        <f t="shared" si="0"/>
        <v>539</v>
      </c>
      <c r="W8" s="40">
        <f t="shared" si="1"/>
        <v>0.1081026875250702</v>
      </c>
      <c r="X8" s="12">
        <v>10418</v>
      </c>
    </row>
    <row r="9" spans="1:24" ht="54" customHeight="1">
      <c r="A9" s="22" t="s">
        <v>12</v>
      </c>
      <c r="B9" s="25" t="s">
        <v>87</v>
      </c>
      <c r="C9" s="26" t="s">
        <v>57</v>
      </c>
      <c r="D9" s="26" t="s">
        <v>74</v>
      </c>
      <c r="E9" s="33" t="s">
        <v>56</v>
      </c>
      <c r="F9" s="36" t="s">
        <v>103</v>
      </c>
      <c r="G9" s="34">
        <v>1</v>
      </c>
      <c r="H9" s="34">
        <v>1</v>
      </c>
      <c r="I9" s="35"/>
      <c r="J9" s="37">
        <v>0</v>
      </c>
      <c r="K9" s="37">
        <v>1</v>
      </c>
      <c r="L9" s="37"/>
      <c r="M9" s="37"/>
      <c r="N9" s="38"/>
      <c r="O9" s="38"/>
      <c r="P9" s="37"/>
      <c r="Q9" s="39"/>
      <c r="R9" s="39"/>
      <c r="S9" s="39"/>
      <c r="T9" s="39"/>
      <c r="U9" s="39"/>
      <c r="V9" s="39">
        <f t="shared" si="0"/>
        <v>1</v>
      </c>
      <c r="W9" s="40">
        <f>V9/V8</f>
        <v>1.8552875695732839E-3</v>
      </c>
    </row>
    <row r="10" spans="1:24" ht="65.25" customHeight="1">
      <c r="A10" s="27" t="s">
        <v>12</v>
      </c>
      <c r="B10" s="28" t="s">
        <v>88</v>
      </c>
      <c r="C10" s="29" t="s">
        <v>58</v>
      </c>
      <c r="D10" s="29" t="s">
        <v>75</v>
      </c>
      <c r="E10" s="42" t="s">
        <v>30</v>
      </c>
      <c r="F10" s="36" t="s">
        <v>103</v>
      </c>
      <c r="G10" s="34">
        <v>1</v>
      </c>
      <c r="H10" s="34">
        <v>1</v>
      </c>
      <c r="I10" s="35"/>
      <c r="J10" s="37">
        <v>0</v>
      </c>
      <c r="K10" s="37">
        <v>1</v>
      </c>
      <c r="L10" s="37"/>
      <c r="M10" s="37"/>
      <c r="N10" s="38"/>
      <c r="O10" s="38"/>
      <c r="P10" s="37"/>
      <c r="Q10" s="39"/>
      <c r="R10" s="39"/>
      <c r="S10" s="39"/>
      <c r="T10" s="39"/>
      <c r="U10" s="39"/>
      <c r="V10" s="39">
        <f t="shared" si="0"/>
        <v>1</v>
      </c>
      <c r="W10" s="40">
        <f>V10/V8</f>
        <v>1.8552875695732839E-3</v>
      </c>
    </row>
    <row r="11" spans="1:24" ht="55.5" customHeight="1">
      <c r="A11" s="22" t="s">
        <v>13</v>
      </c>
      <c r="B11" s="22" t="s">
        <v>89</v>
      </c>
      <c r="C11" s="23" t="s">
        <v>21</v>
      </c>
      <c r="D11" s="23" t="s">
        <v>76</v>
      </c>
      <c r="E11" s="32" t="s">
        <v>31</v>
      </c>
      <c r="F11" s="36">
        <v>9593</v>
      </c>
      <c r="G11" s="34">
        <v>0.2</v>
      </c>
      <c r="H11" s="35">
        <f>F11*0.2</f>
        <v>1918.6000000000001</v>
      </c>
      <c r="I11" s="35" t="s">
        <v>137</v>
      </c>
      <c r="J11" s="37">
        <v>81</v>
      </c>
      <c r="K11" s="37">
        <v>115</v>
      </c>
      <c r="L11" s="37"/>
      <c r="M11" s="37"/>
      <c r="N11" s="38"/>
      <c r="O11" s="38"/>
      <c r="P11" s="37"/>
      <c r="Q11" s="39"/>
      <c r="R11" s="39"/>
      <c r="S11" s="39"/>
      <c r="T11" s="39"/>
      <c r="U11" s="39"/>
      <c r="V11" s="39">
        <f t="shared" si="0"/>
        <v>196</v>
      </c>
      <c r="W11" s="40">
        <f t="shared" si="1"/>
        <v>0.10215782341290523</v>
      </c>
      <c r="X11" s="12">
        <v>10170</v>
      </c>
    </row>
    <row r="12" spans="1:24" ht="54.75" customHeight="1">
      <c r="A12" s="4" t="s">
        <v>13</v>
      </c>
      <c r="B12" s="5" t="s">
        <v>90</v>
      </c>
      <c r="C12" s="1" t="s">
        <v>19</v>
      </c>
      <c r="D12" s="1" t="s">
        <v>77</v>
      </c>
      <c r="E12" s="44" t="s">
        <v>31</v>
      </c>
      <c r="F12" s="36">
        <v>9593</v>
      </c>
      <c r="G12" s="34">
        <v>0.2</v>
      </c>
      <c r="H12" s="35">
        <f>F12*0.2</f>
        <v>1918.6000000000001</v>
      </c>
      <c r="I12" s="35" t="s">
        <v>138</v>
      </c>
      <c r="J12" s="37">
        <v>62</v>
      </c>
      <c r="K12" s="37">
        <v>96</v>
      </c>
      <c r="L12" s="37"/>
      <c r="M12" s="37"/>
      <c r="N12" s="38"/>
      <c r="O12" s="38"/>
      <c r="P12" s="37"/>
      <c r="Q12" s="39"/>
      <c r="R12" s="39"/>
      <c r="S12" s="39"/>
      <c r="T12" s="39"/>
      <c r="U12" s="39"/>
      <c r="V12" s="39">
        <f t="shared" si="0"/>
        <v>158</v>
      </c>
      <c r="W12" s="40">
        <f t="shared" si="1"/>
        <v>8.235171479203586E-2</v>
      </c>
    </row>
    <row r="13" spans="1:24" ht="63" customHeight="1">
      <c r="A13" s="8" t="s">
        <v>13</v>
      </c>
      <c r="B13" s="7" t="s">
        <v>91</v>
      </c>
      <c r="C13" s="3" t="s">
        <v>20</v>
      </c>
      <c r="D13" s="3" t="s">
        <v>59</v>
      </c>
      <c r="E13" s="45" t="s">
        <v>31</v>
      </c>
      <c r="F13" s="36">
        <v>9593</v>
      </c>
      <c r="G13" s="34">
        <v>0.2</v>
      </c>
      <c r="H13" s="35">
        <f>F13*0.2</f>
        <v>1918.6000000000001</v>
      </c>
      <c r="I13" s="35" t="s">
        <v>151</v>
      </c>
      <c r="J13" s="37">
        <v>62</v>
      </c>
      <c r="K13" s="37">
        <v>96</v>
      </c>
      <c r="L13" s="37"/>
      <c r="M13" s="37"/>
      <c r="N13" s="38"/>
      <c r="O13" s="38"/>
      <c r="P13" s="37"/>
      <c r="Q13" s="39"/>
      <c r="R13" s="39"/>
      <c r="S13" s="39"/>
      <c r="T13" s="39"/>
      <c r="U13" s="39"/>
      <c r="V13" s="39">
        <f t="shared" si="0"/>
        <v>158</v>
      </c>
      <c r="W13" s="40">
        <f t="shared" si="1"/>
        <v>8.235171479203586E-2</v>
      </c>
    </row>
    <row r="14" spans="1:24" ht="63" customHeight="1">
      <c r="A14" s="9" t="s">
        <v>13</v>
      </c>
      <c r="B14" s="6" t="s">
        <v>104</v>
      </c>
      <c r="C14" s="2" t="s">
        <v>92</v>
      </c>
      <c r="D14" s="2" t="s">
        <v>61</v>
      </c>
      <c r="E14" s="46" t="s">
        <v>60</v>
      </c>
      <c r="F14" s="36" t="s">
        <v>103</v>
      </c>
      <c r="G14" s="34">
        <v>1</v>
      </c>
      <c r="H14" s="34">
        <v>1</v>
      </c>
      <c r="I14" s="35"/>
      <c r="J14" s="37">
        <v>6</v>
      </c>
      <c r="K14" s="37">
        <v>11</v>
      </c>
      <c r="L14" s="37"/>
      <c r="M14" s="37"/>
      <c r="N14" s="38"/>
      <c r="O14" s="38"/>
      <c r="P14" s="37"/>
      <c r="Q14" s="39"/>
      <c r="R14" s="39"/>
      <c r="S14" s="39"/>
      <c r="T14" s="39"/>
      <c r="U14" s="39"/>
      <c r="V14" s="39">
        <f t="shared" si="0"/>
        <v>17</v>
      </c>
      <c r="W14" s="40">
        <f>V14/V13</f>
        <v>0.10759493670886076</v>
      </c>
    </row>
    <row r="15" spans="1:24" ht="70.5" customHeight="1">
      <c r="A15" s="19" t="s">
        <v>13</v>
      </c>
      <c r="B15" s="20" t="s">
        <v>93</v>
      </c>
      <c r="C15" s="21" t="s">
        <v>34</v>
      </c>
      <c r="D15" s="21" t="s">
        <v>32</v>
      </c>
      <c r="E15" s="47" t="s">
        <v>33</v>
      </c>
      <c r="F15" s="36" t="s">
        <v>103</v>
      </c>
      <c r="G15" s="34">
        <v>1</v>
      </c>
      <c r="H15" s="34">
        <v>1</v>
      </c>
      <c r="I15" s="35"/>
      <c r="J15" s="37" t="s">
        <v>153</v>
      </c>
      <c r="K15" s="37" t="s">
        <v>153</v>
      </c>
      <c r="L15" s="37"/>
      <c r="M15" s="37"/>
      <c r="N15" s="38"/>
      <c r="O15" s="38"/>
      <c r="P15" s="37"/>
      <c r="Q15" s="39"/>
      <c r="R15" s="39"/>
      <c r="S15" s="39"/>
      <c r="T15" s="39"/>
      <c r="U15" s="39"/>
      <c r="V15" s="39">
        <f t="shared" si="0"/>
        <v>0</v>
      </c>
      <c r="W15" s="40">
        <f>V15/V14</f>
        <v>0</v>
      </c>
    </row>
    <row r="16" spans="1:24" ht="63.75">
      <c r="A16" s="9" t="s">
        <v>14</v>
      </c>
      <c r="B16" s="6" t="s">
        <v>94</v>
      </c>
      <c r="C16" s="2" t="s">
        <v>64</v>
      </c>
      <c r="D16" s="2" t="s">
        <v>63</v>
      </c>
      <c r="E16" s="46" t="s">
        <v>62</v>
      </c>
      <c r="F16" s="36">
        <v>21667</v>
      </c>
      <c r="G16" s="34">
        <v>0.5</v>
      </c>
      <c r="H16" s="35">
        <f>F16*0.5</f>
        <v>10833.5</v>
      </c>
      <c r="I16" s="35" t="s">
        <v>106</v>
      </c>
      <c r="J16" s="37">
        <v>381</v>
      </c>
      <c r="K16" s="37">
        <v>613</v>
      </c>
      <c r="L16" s="37"/>
      <c r="M16" s="37"/>
      <c r="N16" s="38"/>
      <c r="O16" s="38"/>
      <c r="P16" s="37"/>
      <c r="Q16" s="39"/>
      <c r="R16" s="39"/>
      <c r="S16" s="39"/>
      <c r="T16" s="39"/>
      <c r="U16" s="39"/>
      <c r="V16" s="39">
        <f t="shared" si="0"/>
        <v>994</v>
      </c>
      <c r="W16" s="40">
        <f t="shared" si="1"/>
        <v>9.1752434577929573E-2</v>
      </c>
    </row>
    <row r="17" spans="1:23" ht="58.5" customHeight="1">
      <c r="A17" s="9" t="s">
        <v>14</v>
      </c>
      <c r="B17" s="6" t="s">
        <v>95</v>
      </c>
      <c r="C17" s="2" t="s">
        <v>67</v>
      </c>
      <c r="D17" s="2" t="s">
        <v>66</v>
      </c>
      <c r="E17" s="46" t="s">
        <v>65</v>
      </c>
      <c r="F17" s="36" t="s">
        <v>103</v>
      </c>
      <c r="G17" s="34">
        <v>1</v>
      </c>
      <c r="H17" s="34">
        <v>1</v>
      </c>
      <c r="I17" s="35"/>
      <c r="J17" s="37">
        <v>14</v>
      </c>
      <c r="K17" s="37">
        <v>34</v>
      </c>
      <c r="L17" s="37"/>
      <c r="M17" s="37"/>
      <c r="N17" s="38"/>
      <c r="O17" s="38"/>
      <c r="P17" s="37"/>
      <c r="Q17" s="39"/>
      <c r="R17" s="39"/>
      <c r="S17" s="39"/>
      <c r="T17" s="39"/>
      <c r="U17" s="39"/>
      <c r="V17" s="39">
        <f t="shared" si="0"/>
        <v>48</v>
      </c>
      <c r="W17" s="40">
        <f>V17/V16</f>
        <v>4.8289738430583498E-2</v>
      </c>
    </row>
    <row r="18" spans="1:23" ht="76.5">
      <c r="A18" s="9" t="s">
        <v>14</v>
      </c>
      <c r="B18" s="6" t="s">
        <v>96</v>
      </c>
      <c r="C18" s="2" t="s">
        <v>36</v>
      </c>
      <c r="D18" s="2" t="s">
        <v>68</v>
      </c>
      <c r="E18" s="46" t="s">
        <v>35</v>
      </c>
      <c r="F18" s="36" t="s">
        <v>103</v>
      </c>
      <c r="G18" s="34">
        <v>1</v>
      </c>
      <c r="H18" s="34">
        <v>1</v>
      </c>
      <c r="I18" s="35"/>
      <c r="J18" s="37">
        <v>0</v>
      </c>
      <c r="K18" s="37">
        <v>0</v>
      </c>
      <c r="L18" s="37"/>
      <c r="M18" s="37"/>
      <c r="N18" s="38"/>
      <c r="O18" s="38"/>
      <c r="P18" s="37"/>
      <c r="Q18" s="39"/>
      <c r="R18" s="39"/>
      <c r="S18" s="39"/>
      <c r="T18" s="39"/>
      <c r="U18" s="39"/>
      <c r="V18" s="39">
        <f t="shared" si="0"/>
        <v>0</v>
      </c>
      <c r="W18" s="40">
        <f>V18/V17</f>
        <v>0</v>
      </c>
    </row>
    <row r="21" spans="1:23">
      <c r="A21" s="12" t="s">
        <v>159</v>
      </c>
    </row>
    <row r="22" spans="1:23">
      <c r="A22" s="50">
        <v>46129</v>
      </c>
      <c r="B22" s="12" t="s">
        <v>161</v>
      </c>
    </row>
    <row r="23" spans="1:23">
      <c r="A23" s="12" t="s">
        <v>160</v>
      </c>
    </row>
    <row r="24" spans="1:23">
      <c r="A24" s="12" t="s">
        <v>162</v>
      </c>
    </row>
    <row r="25" spans="1:23">
      <c r="A25" s="12" t="s">
        <v>164</v>
      </c>
    </row>
    <row r="26" spans="1:23">
      <c r="A26" s="12" t="s">
        <v>163</v>
      </c>
    </row>
    <row r="27" spans="1:23">
      <c r="A27" s="12" t="s">
        <v>165</v>
      </c>
    </row>
  </sheetData>
  <autoFilter ref="A1:W18" xr:uid="{00000000-0001-0000-0000-000000000000}"/>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4CD1-ED16-4175-AD17-BF1D506EB7B1}">
  <sheetPr>
    <tabColor rgb="FF00B0F0"/>
  </sheetPr>
  <dimension ref="A1:X26"/>
  <sheetViews>
    <sheetView topLeftCell="D1" workbookViewId="0">
      <pane ySplit="1" topLeftCell="A16" activePane="bottomLeft" state="frozen"/>
      <selection activeCell="E1" sqref="E1"/>
      <selection pane="bottomLeft" activeCell="J2" sqref="J2:L18"/>
    </sheetView>
  </sheetViews>
  <sheetFormatPr baseColWidth="10" defaultColWidth="9.140625" defaultRowHeight="12.75"/>
  <cols>
    <col min="1" max="1" width="11.5703125" style="12" customWidth="1"/>
    <col min="2" max="2" width="15.85546875" style="12" customWidth="1"/>
    <col min="3" max="3" width="37.5703125" style="12" customWidth="1"/>
    <col min="4" max="4" width="34.5703125" style="12" customWidth="1"/>
    <col min="5" max="5" width="33.42578125" style="12" customWidth="1"/>
    <col min="6" max="6" width="18" style="12" customWidth="1"/>
    <col min="7" max="8" width="14.140625" style="11" customWidth="1"/>
    <col min="9" max="9" width="14.85546875" style="12" customWidth="1"/>
    <col min="10" max="12" width="9.42578125" style="12" customWidth="1"/>
    <col min="13" max="14" width="9.42578125" style="12" hidden="1" customWidth="1"/>
    <col min="15" max="15" width="9.7109375" style="12" hidden="1" customWidth="1"/>
    <col min="16" max="16" width="9.140625" style="12" hidden="1" customWidth="1"/>
    <col min="17" max="17" width="12.42578125" style="12" hidden="1" customWidth="1"/>
    <col min="18" max="18" width="11.42578125" style="12" hidden="1" customWidth="1"/>
    <col min="19" max="19" width="0" style="12" hidden="1" customWidth="1"/>
    <col min="20" max="20" width="10.85546875" style="12" hidden="1" customWidth="1"/>
    <col min="21" max="21" width="11.7109375" style="12" hidden="1" customWidth="1"/>
    <col min="22" max="22" width="12.7109375" style="12" customWidth="1"/>
    <col min="23" max="16384" width="9.140625" style="12"/>
  </cols>
  <sheetData>
    <row r="1" spans="1:24" s="18" customFormat="1" ht="24">
      <c r="A1" s="14" t="s">
        <v>23</v>
      </c>
      <c r="B1" s="14" t="s">
        <v>79</v>
      </c>
      <c r="C1" s="15" t="s">
        <v>24</v>
      </c>
      <c r="D1" s="15" t="s">
        <v>22</v>
      </c>
      <c r="E1" s="15" t="s">
        <v>25</v>
      </c>
      <c r="F1" s="48" t="s">
        <v>38</v>
      </c>
      <c r="G1" s="16" t="s">
        <v>97</v>
      </c>
      <c r="H1" s="16" t="s">
        <v>99</v>
      </c>
      <c r="I1" s="16" t="s">
        <v>152</v>
      </c>
      <c r="J1" s="17" t="s">
        <v>37</v>
      </c>
      <c r="K1" s="17" t="s">
        <v>1</v>
      </c>
      <c r="L1" s="17" t="s">
        <v>2</v>
      </c>
      <c r="M1" s="17" t="s">
        <v>3</v>
      </c>
      <c r="N1" s="17" t="s">
        <v>4</v>
      </c>
      <c r="O1" s="17" t="s">
        <v>5</v>
      </c>
      <c r="P1" s="17" t="s">
        <v>6</v>
      </c>
      <c r="Q1" s="17" t="s">
        <v>7</v>
      </c>
      <c r="R1" s="17" t="s">
        <v>8</v>
      </c>
      <c r="S1" s="17" t="s">
        <v>9</v>
      </c>
      <c r="T1" s="17" t="s">
        <v>10</v>
      </c>
      <c r="U1" s="17" t="s">
        <v>11</v>
      </c>
      <c r="V1" s="16" t="s">
        <v>101</v>
      </c>
      <c r="W1" s="16" t="s">
        <v>102</v>
      </c>
    </row>
    <row r="2" spans="1:24" ht="38.25">
      <c r="A2" s="22" t="s">
        <v>0</v>
      </c>
      <c r="B2" s="30" t="s">
        <v>80</v>
      </c>
      <c r="C2" s="31" t="s">
        <v>69</v>
      </c>
      <c r="D2" s="23" t="s">
        <v>71</v>
      </c>
      <c r="E2" s="32" t="s">
        <v>27</v>
      </c>
      <c r="F2" s="36">
        <v>1280</v>
      </c>
      <c r="G2" s="34">
        <v>0.33</v>
      </c>
      <c r="H2" s="35">
        <f>F2*0.33</f>
        <v>422.40000000000003</v>
      </c>
      <c r="I2" s="35"/>
      <c r="J2" s="37">
        <v>142</v>
      </c>
      <c r="K2" s="37">
        <v>138</v>
      </c>
      <c r="L2" s="37">
        <v>175</v>
      </c>
      <c r="M2" s="37"/>
      <c r="N2" s="38"/>
      <c r="O2" s="38"/>
      <c r="P2" s="39"/>
      <c r="Q2" s="39"/>
      <c r="R2" s="39"/>
      <c r="S2" s="39"/>
      <c r="T2" s="39"/>
      <c r="U2" s="39"/>
      <c r="V2" s="39">
        <f>SUM(J2:U2)</f>
        <v>455</v>
      </c>
      <c r="W2" s="40">
        <f>V2/H2</f>
        <v>1.0771780303030303</v>
      </c>
    </row>
    <row r="3" spans="1:24" ht="51">
      <c r="A3" s="22" t="s">
        <v>0</v>
      </c>
      <c r="B3" s="30" t="s">
        <v>81</v>
      </c>
      <c r="C3" s="31" t="s">
        <v>50</v>
      </c>
      <c r="D3" s="23" t="s">
        <v>49</v>
      </c>
      <c r="E3" s="33" t="s">
        <v>48</v>
      </c>
      <c r="F3" s="36" t="s">
        <v>103</v>
      </c>
      <c r="G3" s="34">
        <v>1</v>
      </c>
      <c r="H3" s="34">
        <v>1</v>
      </c>
      <c r="I3" s="35"/>
      <c r="J3" s="37">
        <v>0</v>
      </c>
      <c r="K3" s="37">
        <v>0</v>
      </c>
      <c r="L3" s="37">
        <v>3</v>
      </c>
      <c r="M3" s="37"/>
      <c r="N3" s="38"/>
      <c r="O3" s="38"/>
      <c r="P3" s="39"/>
      <c r="Q3" s="39"/>
      <c r="R3" s="39"/>
      <c r="S3" s="39"/>
      <c r="T3" s="39"/>
      <c r="U3" s="39"/>
      <c r="V3" s="39">
        <f>SUM(J3:U3)</f>
        <v>3</v>
      </c>
      <c r="W3" s="41">
        <f>V3/V2</f>
        <v>6.5934065934065934E-3</v>
      </c>
    </row>
    <row r="4" spans="1:24" ht="51">
      <c r="A4" s="22" t="s">
        <v>0</v>
      </c>
      <c r="B4" s="30" t="s">
        <v>82</v>
      </c>
      <c r="C4" s="31" t="s">
        <v>70</v>
      </c>
      <c r="D4" s="32" t="s">
        <v>72</v>
      </c>
      <c r="E4" s="42" t="s">
        <v>26</v>
      </c>
      <c r="F4" s="36">
        <v>9805</v>
      </c>
      <c r="G4" s="34">
        <v>0.2</v>
      </c>
      <c r="H4" s="35">
        <f>F4*0.2</f>
        <v>1961</v>
      </c>
      <c r="I4" s="35" t="s">
        <v>122</v>
      </c>
      <c r="J4" s="37">
        <v>5</v>
      </c>
      <c r="K4" s="37">
        <v>0</v>
      </c>
      <c r="L4" s="37">
        <v>1</v>
      </c>
      <c r="M4" s="37"/>
      <c r="N4" s="38"/>
      <c r="O4" s="38"/>
      <c r="P4" s="37"/>
      <c r="Q4" s="39"/>
      <c r="R4" s="39"/>
      <c r="S4" s="39"/>
      <c r="T4" s="39"/>
      <c r="U4" s="39"/>
      <c r="V4" s="39">
        <f t="shared" ref="V4:V18" si="0">SUM(J4:U4)</f>
        <v>6</v>
      </c>
      <c r="W4" s="40">
        <f t="shared" ref="W4:W16" si="1">V4/H4</f>
        <v>3.0596634370219276E-3</v>
      </c>
      <c r="X4" s="12">
        <v>9990</v>
      </c>
    </row>
    <row r="5" spans="1:24" ht="38.25">
      <c r="A5" s="22" t="s">
        <v>0</v>
      </c>
      <c r="B5" s="30" t="s">
        <v>83</v>
      </c>
      <c r="C5" s="31" t="s">
        <v>51</v>
      </c>
      <c r="D5" s="31" t="s">
        <v>46</v>
      </c>
      <c r="E5" s="43" t="s">
        <v>45</v>
      </c>
      <c r="F5" s="36" t="s">
        <v>103</v>
      </c>
      <c r="G5" s="34">
        <v>1</v>
      </c>
      <c r="H5" s="34">
        <v>1</v>
      </c>
      <c r="I5" s="35"/>
      <c r="J5" s="37">
        <v>0</v>
      </c>
      <c r="K5" s="37">
        <v>0</v>
      </c>
      <c r="L5" s="37">
        <v>0</v>
      </c>
      <c r="M5" s="37"/>
      <c r="N5" s="38"/>
      <c r="O5" s="38"/>
      <c r="P5" s="37"/>
      <c r="Q5" s="39"/>
      <c r="R5" s="39"/>
      <c r="S5" s="39"/>
      <c r="T5" s="39"/>
      <c r="U5" s="39"/>
      <c r="V5" s="39">
        <f t="shared" si="0"/>
        <v>0</v>
      </c>
      <c r="W5" s="40">
        <f>V5/V4</f>
        <v>0</v>
      </c>
    </row>
    <row r="6" spans="1:24" ht="51">
      <c r="A6" s="22" t="s">
        <v>0</v>
      </c>
      <c r="B6" s="22" t="s">
        <v>84</v>
      </c>
      <c r="C6" s="23" t="s">
        <v>18</v>
      </c>
      <c r="D6" s="23" t="s">
        <v>52</v>
      </c>
      <c r="E6" s="32" t="s">
        <v>47</v>
      </c>
      <c r="F6" s="36" t="s">
        <v>103</v>
      </c>
      <c r="G6" s="34">
        <v>1</v>
      </c>
      <c r="H6" s="34">
        <v>1</v>
      </c>
      <c r="I6" s="35"/>
      <c r="J6" s="37">
        <v>0</v>
      </c>
      <c r="K6" s="37">
        <v>0</v>
      </c>
      <c r="L6" s="37" t="s">
        <v>153</v>
      </c>
      <c r="M6" s="37"/>
      <c r="N6" s="38"/>
      <c r="O6" s="38"/>
      <c r="P6" s="37"/>
      <c r="Q6" s="39"/>
      <c r="R6" s="39"/>
      <c r="S6" s="39"/>
      <c r="T6" s="39"/>
      <c r="U6" s="39"/>
      <c r="V6" s="39">
        <f t="shared" si="0"/>
        <v>0</v>
      </c>
      <c r="W6" s="40">
        <f>V6/V3</f>
        <v>0</v>
      </c>
    </row>
    <row r="7" spans="1:24" ht="56.25" customHeight="1">
      <c r="A7" s="22" t="s">
        <v>12</v>
      </c>
      <c r="B7" s="24" t="s">
        <v>85</v>
      </c>
      <c r="C7" s="23" t="s">
        <v>53</v>
      </c>
      <c r="D7" s="23" t="s">
        <v>73</v>
      </c>
      <c r="E7" s="32" t="s">
        <v>28</v>
      </c>
      <c r="F7" s="36">
        <v>7151</v>
      </c>
      <c r="G7" s="34">
        <v>1</v>
      </c>
      <c r="H7" s="35">
        <f>F7*1</f>
        <v>7151</v>
      </c>
      <c r="I7" s="35"/>
      <c r="J7" s="37">
        <v>16</v>
      </c>
      <c r="K7" s="37">
        <v>11</v>
      </c>
      <c r="L7" s="37">
        <v>8</v>
      </c>
      <c r="M7" s="37"/>
      <c r="N7" s="38"/>
      <c r="O7" s="38"/>
      <c r="P7" s="37"/>
      <c r="Q7" s="39"/>
      <c r="R7" s="39"/>
      <c r="S7" s="39"/>
      <c r="T7" s="39"/>
      <c r="U7" s="39"/>
      <c r="V7" s="39">
        <f t="shared" si="0"/>
        <v>35</v>
      </c>
      <c r="W7" s="40">
        <f t="shared" si="1"/>
        <v>4.894420360788701E-3</v>
      </c>
    </row>
    <row r="8" spans="1:24" ht="54" customHeight="1">
      <c r="A8" s="22" t="s">
        <v>12</v>
      </c>
      <c r="B8" s="25" t="s">
        <v>86</v>
      </c>
      <c r="C8" s="26" t="s">
        <v>54</v>
      </c>
      <c r="D8" s="26" t="s">
        <v>55</v>
      </c>
      <c r="E8" s="33" t="s">
        <v>29</v>
      </c>
      <c r="F8" s="36">
        <v>3910</v>
      </c>
      <c r="G8" s="34">
        <v>0.5</v>
      </c>
      <c r="H8" s="35">
        <f>F8*0.5</f>
        <v>1955</v>
      </c>
      <c r="I8" s="35" t="s">
        <v>125</v>
      </c>
      <c r="J8" s="37">
        <v>74</v>
      </c>
      <c r="K8" s="37">
        <v>78</v>
      </c>
      <c r="L8" s="37">
        <v>128</v>
      </c>
      <c r="M8" s="37"/>
      <c r="N8" s="38"/>
      <c r="O8" s="38"/>
      <c r="P8" s="37"/>
      <c r="Q8" s="39"/>
      <c r="R8" s="39"/>
      <c r="S8" s="39"/>
      <c r="T8" s="39"/>
      <c r="U8" s="39"/>
      <c r="V8" s="39">
        <f t="shared" si="0"/>
        <v>280</v>
      </c>
      <c r="W8" s="40">
        <f t="shared" si="1"/>
        <v>0.14322250639386189</v>
      </c>
    </row>
    <row r="9" spans="1:24" ht="54" customHeight="1">
      <c r="A9" s="22" t="s">
        <v>12</v>
      </c>
      <c r="B9" s="25" t="s">
        <v>87</v>
      </c>
      <c r="C9" s="26" t="s">
        <v>57</v>
      </c>
      <c r="D9" s="26" t="s">
        <v>74</v>
      </c>
      <c r="E9" s="33" t="s">
        <v>56</v>
      </c>
      <c r="F9" s="36" t="s">
        <v>103</v>
      </c>
      <c r="G9" s="34">
        <v>1</v>
      </c>
      <c r="H9" s="34">
        <v>1</v>
      </c>
      <c r="I9" s="35"/>
      <c r="J9" s="37">
        <v>0</v>
      </c>
      <c r="K9" s="37">
        <v>1</v>
      </c>
      <c r="L9" s="37">
        <v>0</v>
      </c>
      <c r="M9" s="37"/>
      <c r="N9" s="38"/>
      <c r="O9" s="38"/>
      <c r="P9" s="37"/>
      <c r="Q9" s="39"/>
      <c r="R9" s="39"/>
      <c r="S9" s="39"/>
      <c r="T9" s="39"/>
      <c r="U9" s="39"/>
      <c r="V9" s="39">
        <f t="shared" si="0"/>
        <v>1</v>
      </c>
      <c r="W9" s="40">
        <f>V9/V8</f>
        <v>3.5714285714285713E-3</v>
      </c>
    </row>
    <row r="10" spans="1:24" ht="65.25" customHeight="1">
      <c r="A10" s="27" t="s">
        <v>12</v>
      </c>
      <c r="B10" s="28" t="s">
        <v>88</v>
      </c>
      <c r="C10" s="29" t="s">
        <v>58</v>
      </c>
      <c r="D10" s="29" t="s">
        <v>75</v>
      </c>
      <c r="E10" s="42" t="s">
        <v>30</v>
      </c>
      <c r="F10" s="36" t="s">
        <v>103</v>
      </c>
      <c r="G10" s="34">
        <v>1</v>
      </c>
      <c r="H10" s="34">
        <v>1</v>
      </c>
      <c r="I10" s="35"/>
      <c r="J10" s="37">
        <v>0</v>
      </c>
      <c r="K10" s="49">
        <v>0</v>
      </c>
      <c r="L10" s="37">
        <v>0</v>
      </c>
      <c r="M10" s="37"/>
      <c r="N10" s="38"/>
      <c r="O10" s="38"/>
      <c r="P10" s="37"/>
      <c r="Q10" s="39"/>
      <c r="R10" s="39"/>
      <c r="S10" s="39"/>
      <c r="T10" s="39"/>
      <c r="U10" s="39"/>
      <c r="V10" s="39">
        <f t="shared" si="0"/>
        <v>0</v>
      </c>
      <c r="W10" s="40">
        <f>V10/V8</f>
        <v>0</v>
      </c>
    </row>
    <row r="11" spans="1:24" ht="55.5" customHeight="1">
      <c r="A11" s="22" t="s">
        <v>13</v>
      </c>
      <c r="B11" s="22" t="s">
        <v>89</v>
      </c>
      <c r="C11" s="23" t="s">
        <v>21</v>
      </c>
      <c r="D11" s="23" t="s">
        <v>76</v>
      </c>
      <c r="E11" s="32" t="s">
        <v>31</v>
      </c>
      <c r="F11" s="36">
        <v>4071</v>
      </c>
      <c r="G11" s="34">
        <v>0.2</v>
      </c>
      <c r="H11" s="35">
        <f>F11*0.2</f>
        <v>814.2</v>
      </c>
      <c r="I11" s="35" t="s">
        <v>136</v>
      </c>
      <c r="J11" s="37">
        <v>97</v>
      </c>
      <c r="K11" s="37">
        <v>94</v>
      </c>
      <c r="L11" s="37"/>
      <c r="M11" s="37"/>
      <c r="N11" s="38"/>
      <c r="O11" s="38"/>
      <c r="P11" s="37"/>
      <c r="Q11" s="39"/>
      <c r="R11" s="39"/>
      <c r="S11" s="39"/>
      <c r="T11" s="39"/>
      <c r="U11" s="39"/>
      <c r="V11" s="39">
        <f t="shared" si="0"/>
        <v>191</v>
      </c>
      <c r="W11" s="40">
        <f t="shared" si="1"/>
        <v>0.23458609678211739</v>
      </c>
      <c r="X11" s="12">
        <v>4164</v>
      </c>
    </row>
    <row r="12" spans="1:24" ht="54.75" customHeight="1">
      <c r="A12" s="4" t="s">
        <v>13</v>
      </c>
      <c r="B12" s="5" t="s">
        <v>90</v>
      </c>
      <c r="C12" s="1" t="s">
        <v>19</v>
      </c>
      <c r="D12" s="1" t="s">
        <v>77</v>
      </c>
      <c r="E12" s="44" t="s">
        <v>31</v>
      </c>
      <c r="F12" s="36">
        <v>4071</v>
      </c>
      <c r="G12" s="34">
        <v>0.2</v>
      </c>
      <c r="H12" s="35">
        <f>F12*0.2</f>
        <v>814.2</v>
      </c>
      <c r="I12" s="35" t="s">
        <v>139</v>
      </c>
      <c r="J12" s="37">
        <v>96</v>
      </c>
      <c r="K12" s="37">
        <v>90</v>
      </c>
      <c r="L12" s="37"/>
      <c r="M12" s="37"/>
      <c r="N12" s="38"/>
      <c r="O12" s="38"/>
      <c r="P12" s="37"/>
      <c r="Q12" s="39"/>
      <c r="R12" s="39"/>
      <c r="S12" s="39"/>
      <c r="T12" s="39"/>
      <c r="U12" s="39"/>
      <c r="V12" s="39">
        <f t="shared" si="0"/>
        <v>186</v>
      </c>
      <c r="W12" s="40">
        <f t="shared" si="1"/>
        <v>0.22844509948415623</v>
      </c>
    </row>
    <row r="13" spans="1:24" ht="63" customHeight="1">
      <c r="A13" s="8" t="s">
        <v>13</v>
      </c>
      <c r="B13" s="7" t="s">
        <v>91</v>
      </c>
      <c r="C13" s="3" t="s">
        <v>20</v>
      </c>
      <c r="D13" s="3" t="s">
        <v>59</v>
      </c>
      <c r="E13" s="45" t="s">
        <v>31</v>
      </c>
      <c r="F13" s="36">
        <v>4071</v>
      </c>
      <c r="G13" s="34">
        <v>0.2</v>
      </c>
      <c r="H13" s="35">
        <f>F13*0.2</f>
        <v>814.2</v>
      </c>
      <c r="I13" s="35" t="s">
        <v>150</v>
      </c>
      <c r="J13" s="37">
        <v>16</v>
      </c>
      <c r="K13" s="37">
        <v>18</v>
      </c>
      <c r="L13" s="37"/>
      <c r="M13" s="37"/>
      <c r="N13" s="38"/>
      <c r="O13" s="38"/>
      <c r="P13" s="37"/>
      <c r="Q13" s="39"/>
      <c r="R13" s="39"/>
      <c r="S13" s="39"/>
      <c r="T13" s="39"/>
      <c r="U13" s="39"/>
      <c r="V13" s="39">
        <f t="shared" si="0"/>
        <v>34</v>
      </c>
      <c r="W13" s="40">
        <f t="shared" si="1"/>
        <v>4.1758781626136082E-2</v>
      </c>
    </row>
    <row r="14" spans="1:24" ht="63" customHeight="1">
      <c r="A14" s="9" t="s">
        <v>13</v>
      </c>
      <c r="B14" s="6" t="s">
        <v>104</v>
      </c>
      <c r="C14" s="2" t="s">
        <v>92</v>
      </c>
      <c r="D14" s="2" t="s">
        <v>61</v>
      </c>
      <c r="E14" s="46" t="s">
        <v>60</v>
      </c>
      <c r="F14" s="36" t="s">
        <v>103</v>
      </c>
      <c r="G14" s="34">
        <v>1</v>
      </c>
      <c r="H14" s="34">
        <v>1</v>
      </c>
      <c r="I14" s="35" t="s">
        <v>116</v>
      </c>
      <c r="J14" s="37">
        <v>1</v>
      </c>
      <c r="K14" s="37">
        <v>4</v>
      </c>
      <c r="L14" s="37"/>
      <c r="M14" s="37"/>
      <c r="N14" s="38"/>
      <c r="O14" s="38"/>
      <c r="P14" s="37"/>
      <c r="Q14" s="39"/>
      <c r="R14" s="39"/>
      <c r="S14" s="39"/>
      <c r="T14" s="39"/>
      <c r="U14" s="39"/>
      <c r="V14" s="39">
        <f t="shared" si="0"/>
        <v>5</v>
      </c>
      <c r="W14" s="40">
        <f>V14/V13</f>
        <v>0.14705882352941177</v>
      </c>
    </row>
    <row r="15" spans="1:24" ht="70.5" customHeight="1">
      <c r="A15" s="19" t="s">
        <v>13</v>
      </c>
      <c r="B15" s="20" t="s">
        <v>93</v>
      </c>
      <c r="C15" s="21" t="s">
        <v>34</v>
      </c>
      <c r="D15" s="21" t="s">
        <v>32</v>
      </c>
      <c r="E15" s="47" t="s">
        <v>33</v>
      </c>
      <c r="F15" s="36" t="s">
        <v>103</v>
      </c>
      <c r="G15" s="34">
        <v>1</v>
      </c>
      <c r="H15" s="34">
        <v>1</v>
      </c>
      <c r="I15" s="35"/>
      <c r="J15" s="37" t="s">
        <v>153</v>
      </c>
      <c r="K15" s="37" t="s">
        <v>153</v>
      </c>
      <c r="L15" s="37" t="s">
        <v>153</v>
      </c>
      <c r="M15" s="37"/>
      <c r="N15" s="38"/>
      <c r="O15" s="38"/>
      <c r="P15" s="37"/>
      <c r="Q15" s="39"/>
      <c r="R15" s="39"/>
      <c r="S15" s="39"/>
      <c r="T15" s="39"/>
      <c r="U15" s="39"/>
      <c r="V15" s="39">
        <f t="shared" si="0"/>
        <v>0</v>
      </c>
      <c r="W15" s="40">
        <f>V15/V14</f>
        <v>0</v>
      </c>
    </row>
    <row r="16" spans="1:24" ht="63.75">
      <c r="A16" s="9" t="s">
        <v>14</v>
      </c>
      <c r="B16" s="6" t="s">
        <v>94</v>
      </c>
      <c r="C16" s="2" t="s">
        <v>64</v>
      </c>
      <c r="D16" s="2" t="s">
        <v>63</v>
      </c>
      <c r="E16" s="46" t="s">
        <v>62</v>
      </c>
      <c r="F16" s="36">
        <v>8571</v>
      </c>
      <c r="G16" s="34">
        <v>0.5</v>
      </c>
      <c r="H16" s="35">
        <f>F16*0.5</f>
        <v>4285.5</v>
      </c>
      <c r="I16" s="35" t="s">
        <v>107</v>
      </c>
      <c r="J16" s="37">
        <v>140</v>
      </c>
      <c r="K16" s="37">
        <v>155</v>
      </c>
      <c r="L16" s="37"/>
      <c r="M16" s="37"/>
      <c r="N16" s="38"/>
      <c r="O16" s="38"/>
      <c r="P16" s="37"/>
      <c r="Q16" s="39"/>
      <c r="R16" s="39"/>
      <c r="S16" s="39"/>
      <c r="T16" s="39"/>
      <c r="U16" s="39"/>
      <c r="V16" s="39">
        <f t="shared" si="0"/>
        <v>295</v>
      </c>
      <c r="W16" s="40">
        <f t="shared" si="1"/>
        <v>6.8836775172091941E-2</v>
      </c>
    </row>
    <row r="17" spans="1:23" ht="58.5" customHeight="1">
      <c r="A17" s="9" t="s">
        <v>14</v>
      </c>
      <c r="B17" s="6" t="s">
        <v>95</v>
      </c>
      <c r="C17" s="2" t="s">
        <v>67</v>
      </c>
      <c r="D17" s="2" t="s">
        <v>66</v>
      </c>
      <c r="E17" s="46" t="s">
        <v>65</v>
      </c>
      <c r="F17" s="36" t="s">
        <v>103</v>
      </c>
      <c r="G17" s="34">
        <v>1</v>
      </c>
      <c r="H17" s="34">
        <v>1</v>
      </c>
      <c r="I17" s="35"/>
      <c r="J17" s="37">
        <v>0</v>
      </c>
      <c r="K17" s="37">
        <v>0</v>
      </c>
      <c r="L17" s="37"/>
      <c r="M17" s="37"/>
      <c r="N17" s="38"/>
      <c r="O17" s="38"/>
      <c r="P17" s="37"/>
      <c r="Q17" s="39"/>
      <c r="R17" s="39"/>
      <c r="S17" s="39"/>
      <c r="T17" s="39"/>
      <c r="U17" s="39"/>
      <c r="V17" s="39">
        <f t="shared" si="0"/>
        <v>0</v>
      </c>
      <c r="W17" s="40">
        <f>V17/V16</f>
        <v>0</v>
      </c>
    </row>
    <row r="18" spans="1:23" ht="76.5">
      <c r="A18" s="9" t="s">
        <v>14</v>
      </c>
      <c r="B18" s="6" t="s">
        <v>96</v>
      </c>
      <c r="C18" s="2" t="s">
        <v>36</v>
      </c>
      <c r="D18" s="2" t="s">
        <v>68</v>
      </c>
      <c r="E18" s="46" t="s">
        <v>35</v>
      </c>
      <c r="F18" s="36" t="s">
        <v>103</v>
      </c>
      <c r="G18" s="34">
        <v>1</v>
      </c>
      <c r="H18" s="34">
        <v>1</v>
      </c>
      <c r="I18" s="35"/>
      <c r="J18" s="37">
        <v>0</v>
      </c>
      <c r="K18" s="37">
        <v>0</v>
      </c>
      <c r="L18" s="37"/>
      <c r="M18" s="37"/>
      <c r="N18" s="38"/>
      <c r="O18" s="38"/>
      <c r="P18" s="37"/>
      <c r="Q18" s="39"/>
      <c r="R18" s="39"/>
      <c r="S18" s="39"/>
      <c r="T18" s="39"/>
      <c r="U18" s="39"/>
      <c r="V18" s="39">
        <f t="shared" si="0"/>
        <v>0</v>
      </c>
      <c r="W18" s="40" t="e">
        <f>V18/V17</f>
        <v>#DIV/0!</v>
      </c>
    </row>
    <row r="22" spans="1:23">
      <c r="A22" s="12" t="s">
        <v>159</v>
      </c>
    </row>
    <row r="23" spans="1:23">
      <c r="A23" s="50">
        <v>46129</v>
      </c>
      <c r="B23" s="12" t="s">
        <v>154</v>
      </c>
      <c r="D23" s="12" t="s">
        <v>156</v>
      </c>
    </row>
    <row r="24" spans="1:23">
      <c r="B24" s="12" t="s">
        <v>155</v>
      </c>
    </row>
    <row r="25" spans="1:23">
      <c r="B25" s="12" t="s">
        <v>157</v>
      </c>
    </row>
    <row r="26" spans="1:23">
      <c r="B26" s="12" t="s">
        <v>158</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D8743-B734-48F0-9456-3E558B8B56BE}">
  <sheetPr>
    <tabColor theme="4" tint="0.39997558519241921"/>
  </sheetPr>
  <dimension ref="A1:W18"/>
  <sheetViews>
    <sheetView topLeftCell="D1" workbookViewId="0">
      <pane ySplit="1" topLeftCell="A2" activePane="bottomLeft" state="frozen"/>
      <selection activeCell="E1" sqref="E1"/>
      <selection pane="bottomLeft" activeCell="I4" sqref="I4"/>
    </sheetView>
  </sheetViews>
  <sheetFormatPr baseColWidth="10" defaultColWidth="9.140625" defaultRowHeight="12.75"/>
  <cols>
    <col min="1" max="1" width="11.5703125" style="12" customWidth="1"/>
    <col min="2" max="2" width="15.85546875" style="12" customWidth="1"/>
    <col min="3" max="3" width="37.5703125" style="12" customWidth="1"/>
    <col min="4" max="4" width="34.5703125" style="12" customWidth="1"/>
    <col min="5" max="5" width="33.42578125" style="12" customWidth="1"/>
    <col min="6" max="6" width="18" style="12" customWidth="1"/>
    <col min="7" max="8" width="14.140625" style="11" customWidth="1"/>
    <col min="9" max="9" width="14.85546875" style="12" customWidth="1"/>
    <col min="10" max="12" width="9.42578125" style="12" customWidth="1"/>
    <col min="13" max="14" width="9.42578125" style="12" hidden="1" customWidth="1"/>
    <col min="15" max="15" width="9.7109375" style="12" hidden="1" customWidth="1"/>
    <col min="16" max="16" width="9.140625" style="12" hidden="1" customWidth="1"/>
    <col min="17" max="17" width="12.42578125" style="12" hidden="1" customWidth="1"/>
    <col min="18" max="18" width="11.42578125" style="12" hidden="1" customWidth="1"/>
    <col min="19" max="19" width="0" style="12" hidden="1" customWidth="1"/>
    <col min="20" max="20" width="10.85546875" style="12" hidden="1" customWidth="1"/>
    <col min="21" max="21" width="11.7109375" style="12" hidden="1" customWidth="1"/>
    <col min="22" max="22" width="12.7109375" style="12" customWidth="1"/>
    <col min="23" max="16384" width="9.140625" style="12"/>
  </cols>
  <sheetData>
    <row r="1" spans="1:23" s="18" customFormat="1" ht="24">
      <c r="A1" s="14" t="s">
        <v>23</v>
      </c>
      <c r="B1" s="14" t="s">
        <v>79</v>
      </c>
      <c r="C1" s="15" t="s">
        <v>24</v>
      </c>
      <c r="D1" s="15" t="s">
        <v>22</v>
      </c>
      <c r="E1" s="15" t="s">
        <v>25</v>
      </c>
      <c r="F1" s="48" t="s">
        <v>38</v>
      </c>
      <c r="G1" s="16" t="s">
        <v>97</v>
      </c>
      <c r="H1" s="16" t="s">
        <v>99</v>
      </c>
      <c r="I1" s="16" t="s">
        <v>152</v>
      </c>
      <c r="J1" s="17" t="s">
        <v>37</v>
      </c>
      <c r="K1" s="17" t="s">
        <v>1</v>
      </c>
      <c r="L1" s="17" t="s">
        <v>2</v>
      </c>
      <c r="M1" s="17" t="s">
        <v>3</v>
      </c>
      <c r="N1" s="17" t="s">
        <v>4</v>
      </c>
      <c r="O1" s="17" t="s">
        <v>5</v>
      </c>
      <c r="P1" s="17" t="s">
        <v>6</v>
      </c>
      <c r="Q1" s="17" t="s">
        <v>7</v>
      </c>
      <c r="R1" s="17" t="s">
        <v>8</v>
      </c>
      <c r="S1" s="17" t="s">
        <v>9</v>
      </c>
      <c r="T1" s="17" t="s">
        <v>10</v>
      </c>
      <c r="U1" s="17" t="s">
        <v>11</v>
      </c>
      <c r="V1" s="16" t="s">
        <v>101</v>
      </c>
      <c r="W1" s="16" t="s">
        <v>102</v>
      </c>
    </row>
    <row r="2" spans="1:23" ht="38.25">
      <c r="A2" s="22" t="s">
        <v>0</v>
      </c>
      <c r="B2" s="30" t="s">
        <v>80</v>
      </c>
      <c r="C2" s="31" t="s">
        <v>69</v>
      </c>
      <c r="D2" s="23" t="s">
        <v>71</v>
      </c>
      <c r="E2" s="32" t="s">
        <v>27</v>
      </c>
      <c r="F2" s="36">
        <v>432</v>
      </c>
      <c r="G2" s="34">
        <v>0.33</v>
      </c>
      <c r="H2" s="35">
        <f>F2*0.33</f>
        <v>142.56</v>
      </c>
      <c r="I2" s="35" t="s">
        <v>115</v>
      </c>
      <c r="J2" s="37">
        <v>14</v>
      </c>
      <c r="K2" s="37">
        <v>9</v>
      </c>
      <c r="L2" s="37">
        <v>10</v>
      </c>
      <c r="M2" s="37"/>
      <c r="N2" s="38"/>
      <c r="O2" s="38"/>
      <c r="P2" s="39"/>
      <c r="Q2" s="39"/>
      <c r="R2" s="39"/>
      <c r="S2" s="39"/>
      <c r="T2" s="39"/>
      <c r="U2" s="39"/>
      <c r="V2" s="39">
        <f>SUM(J2:U2)</f>
        <v>33</v>
      </c>
      <c r="W2" s="40">
        <f>V2/H2</f>
        <v>0.23148148148148148</v>
      </c>
    </row>
    <row r="3" spans="1:23" ht="51">
      <c r="A3" s="22" t="s">
        <v>0</v>
      </c>
      <c r="B3" s="30" t="s">
        <v>81</v>
      </c>
      <c r="C3" s="31" t="s">
        <v>50</v>
      </c>
      <c r="D3" s="23" t="s">
        <v>49</v>
      </c>
      <c r="E3" s="33" t="s">
        <v>48</v>
      </c>
      <c r="F3" s="36" t="s">
        <v>103</v>
      </c>
      <c r="G3" s="34">
        <v>1</v>
      </c>
      <c r="H3" s="34">
        <v>1</v>
      </c>
      <c r="I3" s="35"/>
      <c r="J3" s="37">
        <v>2</v>
      </c>
      <c r="K3" s="37">
        <v>2</v>
      </c>
      <c r="L3" s="37">
        <v>0</v>
      </c>
      <c r="M3" s="37"/>
      <c r="N3" s="38"/>
      <c r="O3" s="38"/>
      <c r="P3" s="39"/>
      <c r="Q3" s="39"/>
      <c r="R3" s="39"/>
      <c r="S3" s="39"/>
      <c r="T3" s="39"/>
      <c r="U3" s="39"/>
      <c r="V3" s="39">
        <f>SUM(J3:U3)</f>
        <v>4</v>
      </c>
      <c r="W3" s="41">
        <f>V3/V2</f>
        <v>0.12121212121212122</v>
      </c>
    </row>
    <row r="4" spans="1:23" ht="51">
      <c r="A4" s="22" t="s">
        <v>0</v>
      </c>
      <c r="B4" s="30" t="s">
        <v>82</v>
      </c>
      <c r="C4" s="31" t="s">
        <v>70</v>
      </c>
      <c r="D4" s="32" t="s">
        <v>72</v>
      </c>
      <c r="E4" s="42" t="s">
        <v>26</v>
      </c>
      <c r="F4" s="36">
        <v>2598</v>
      </c>
      <c r="G4" s="34">
        <v>0.2</v>
      </c>
      <c r="H4" s="35">
        <f>F4*0.2</f>
        <v>519.6</v>
      </c>
      <c r="I4" s="35" t="s">
        <v>121</v>
      </c>
      <c r="J4" s="37">
        <v>39</v>
      </c>
      <c r="K4" s="37">
        <v>7</v>
      </c>
      <c r="L4" s="37">
        <v>7</v>
      </c>
      <c r="M4" s="37"/>
      <c r="N4" s="38"/>
      <c r="O4" s="38"/>
      <c r="P4" s="37"/>
      <c r="Q4" s="39"/>
      <c r="R4" s="39"/>
      <c r="S4" s="39"/>
      <c r="T4" s="39"/>
      <c r="U4" s="39"/>
      <c r="V4" s="39">
        <f t="shared" ref="V4:V18" si="0">SUM(J4:U4)</f>
        <v>53</v>
      </c>
      <c r="W4" s="40">
        <f t="shared" ref="W4:W16" si="1">V4/H4</f>
        <v>0.10200153964588145</v>
      </c>
    </row>
    <row r="5" spans="1:23" ht="38.25">
      <c r="A5" s="22" t="s">
        <v>0</v>
      </c>
      <c r="B5" s="30" t="s">
        <v>83</v>
      </c>
      <c r="C5" s="31" t="s">
        <v>51</v>
      </c>
      <c r="D5" s="31" t="s">
        <v>46</v>
      </c>
      <c r="E5" s="43" t="s">
        <v>45</v>
      </c>
      <c r="F5" s="36" t="s">
        <v>103</v>
      </c>
      <c r="G5" s="34">
        <v>1</v>
      </c>
      <c r="H5" s="34">
        <v>1</v>
      </c>
      <c r="I5" s="35"/>
      <c r="J5" s="37">
        <v>2</v>
      </c>
      <c r="K5" s="37">
        <v>0</v>
      </c>
      <c r="L5" s="37">
        <v>0</v>
      </c>
      <c r="M5" s="37"/>
      <c r="N5" s="38"/>
      <c r="O5" s="38"/>
      <c r="P5" s="37"/>
      <c r="Q5" s="39"/>
      <c r="R5" s="39"/>
      <c r="S5" s="39"/>
      <c r="T5" s="39"/>
      <c r="U5" s="39"/>
      <c r="V5" s="39">
        <f t="shared" si="0"/>
        <v>2</v>
      </c>
      <c r="W5" s="40">
        <f>V5/V4</f>
        <v>3.7735849056603772E-2</v>
      </c>
    </row>
    <row r="6" spans="1:23" ht="51">
      <c r="A6" s="22" t="s">
        <v>0</v>
      </c>
      <c r="B6" s="22" t="s">
        <v>84</v>
      </c>
      <c r="C6" s="23" t="s">
        <v>18</v>
      </c>
      <c r="D6" s="23" t="s">
        <v>52</v>
      </c>
      <c r="E6" s="32" t="s">
        <v>47</v>
      </c>
      <c r="F6" s="36" t="s">
        <v>103</v>
      </c>
      <c r="G6" s="34">
        <v>1</v>
      </c>
      <c r="H6" s="34">
        <v>1</v>
      </c>
      <c r="I6" s="35"/>
      <c r="J6" s="37">
        <v>1</v>
      </c>
      <c r="K6" s="37">
        <v>0</v>
      </c>
      <c r="L6" s="37">
        <v>0</v>
      </c>
      <c r="M6" s="37"/>
      <c r="N6" s="38"/>
      <c r="O6" s="38"/>
      <c r="P6" s="37"/>
      <c r="Q6" s="39"/>
      <c r="R6" s="39"/>
      <c r="S6" s="39"/>
      <c r="T6" s="39"/>
      <c r="U6" s="39"/>
      <c r="V6" s="39">
        <f t="shared" si="0"/>
        <v>1</v>
      </c>
      <c r="W6" s="40">
        <f>V6/V3</f>
        <v>0.25</v>
      </c>
    </row>
    <row r="7" spans="1:23" ht="56.25" customHeight="1">
      <c r="A7" s="22" t="s">
        <v>12</v>
      </c>
      <c r="B7" s="24" t="s">
        <v>85</v>
      </c>
      <c r="C7" s="23" t="s">
        <v>53</v>
      </c>
      <c r="D7" s="23" t="s">
        <v>73</v>
      </c>
      <c r="E7" s="32" t="s">
        <v>28</v>
      </c>
      <c r="F7" s="36">
        <v>1922</v>
      </c>
      <c r="G7" s="34">
        <v>1</v>
      </c>
      <c r="H7" s="35">
        <f>F7*1</f>
        <v>1922</v>
      </c>
      <c r="I7" s="35"/>
      <c r="J7" s="37">
        <v>24</v>
      </c>
      <c r="K7" s="37">
        <v>64</v>
      </c>
      <c r="L7" s="37">
        <v>30</v>
      </c>
      <c r="M7" s="37"/>
      <c r="N7" s="38"/>
      <c r="O7" s="38"/>
      <c r="P7" s="37"/>
      <c r="Q7" s="39"/>
      <c r="R7" s="39"/>
      <c r="S7" s="39"/>
      <c r="T7" s="39"/>
      <c r="U7" s="39"/>
      <c r="V7" s="39">
        <f t="shared" si="0"/>
        <v>118</v>
      </c>
      <c r="W7" s="40">
        <f t="shared" si="1"/>
        <v>6.1394380853277836E-2</v>
      </c>
    </row>
    <row r="8" spans="1:23" ht="54" customHeight="1">
      <c r="A8" s="22" t="s">
        <v>12</v>
      </c>
      <c r="B8" s="25" t="s">
        <v>86</v>
      </c>
      <c r="C8" s="26" t="s">
        <v>54</v>
      </c>
      <c r="D8" s="26" t="s">
        <v>55</v>
      </c>
      <c r="E8" s="33" t="s">
        <v>29</v>
      </c>
      <c r="F8" s="36">
        <v>1075</v>
      </c>
      <c r="G8" s="34">
        <v>0.5</v>
      </c>
      <c r="H8" s="35">
        <f>F8*0.5</f>
        <v>537.5</v>
      </c>
      <c r="I8" s="35" t="s">
        <v>126</v>
      </c>
      <c r="J8" s="37">
        <v>15</v>
      </c>
      <c r="K8" s="37">
        <v>8</v>
      </c>
      <c r="L8" s="37">
        <v>20</v>
      </c>
      <c r="M8" s="37"/>
      <c r="N8" s="38"/>
      <c r="O8" s="38"/>
      <c r="P8" s="37"/>
      <c r="Q8" s="39"/>
      <c r="R8" s="39"/>
      <c r="S8" s="39"/>
      <c r="T8" s="39"/>
      <c r="U8" s="39"/>
      <c r="V8" s="39">
        <f t="shared" si="0"/>
        <v>43</v>
      </c>
      <c r="W8" s="40">
        <f t="shared" si="1"/>
        <v>0.08</v>
      </c>
    </row>
    <row r="9" spans="1:23" ht="54" customHeight="1">
      <c r="A9" s="22" t="s">
        <v>12</v>
      </c>
      <c r="B9" s="25" t="s">
        <v>87</v>
      </c>
      <c r="C9" s="26" t="s">
        <v>57</v>
      </c>
      <c r="D9" s="26" t="s">
        <v>74</v>
      </c>
      <c r="E9" s="33" t="s">
        <v>56</v>
      </c>
      <c r="F9" s="36" t="s">
        <v>103</v>
      </c>
      <c r="G9" s="34">
        <v>1</v>
      </c>
      <c r="H9" s="34">
        <v>1</v>
      </c>
      <c r="I9" s="35"/>
      <c r="J9" s="37">
        <v>0</v>
      </c>
      <c r="K9" s="37">
        <v>0</v>
      </c>
      <c r="L9" s="37">
        <v>0</v>
      </c>
      <c r="M9" s="37"/>
      <c r="N9" s="38"/>
      <c r="O9" s="38"/>
      <c r="P9" s="37"/>
      <c r="Q9" s="39"/>
      <c r="R9" s="39"/>
      <c r="S9" s="39"/>
      <c r="T9" s="39"/>
      <c r="U9" s="39"/>
      <c r="V9" s="39">
        <f t="shared" si="0"/>
        <v>0</v>
      </c>
      <c r="W9" s="40">
        <f>V9/V8</f>
        <v>0</v>
      </c>
    </row>
    <row r="10" spans="1:23" ht="65.25" customHeight="1">
      <c r="A10" s="27" t="s">
        <v>12</v>
      </c>
      <c r="B10" s="28" t="s">
        <v>88</v>
      </c>
      <c r="C10" s="29" t="s">
        <v>58</v>
      </c>
      <c r="D10" s="29" t="s">
        <v>75</v>
      </c>
      <c r="E10" s="42" t="s">
        <v>30</v>
      </c>
      <c r="F10" s="36" t="s">
        <v>103</v>
      </c>
      <c r="G10" s="34">
        <v>1</v>
      </c>
      <c r="H10" s="34">
        <v>1</v>
      </c>
      <c r="I10" s="35"/>
      <c r="J10" s="37">
        <v>0</v>
      </c>
      <c r="K10" s="37">
        <v>0</v>
      </c>
      <c r="L10" s="37">
        <v>0</v>
      </c>
      <c r="M10" s="37"/>
      <c r="N10" s="38"/>
      <c r="O10" s="38"/>
      <c r="P10" s="37"/>
      <c r="Q10" s="39"/>
      <c r="R10" s="39"/>
      <c r="S10" s="39"/>
      <c r="T10" s="39"/>
      <c r="U10" s="39"/>
      <c r="V10" s="39">
        <f t="shared" si="0"/>
        <v>0</v>
      </c>
      <c r="W10" s="40">
        <f>V10/V8</f>
        <v>0</v>
      </c>
    </row>
    <row r="11" spans="1:23" ht="55.5" customHeight="1">
      <c r="A11" s="22" t="s">
        <v>13</v>
      </c>
      <c r="B11" s="22" t="s">
        <v>89</v>
      </c>
      <c r="C11" s="23" t="s">
        <v>21</v>
      </c>
      <c r="D11" s="23" t="s">
        <v>76</v>
      </c>
      <c r="E11" s="32" t="s">
        <v>31</v>
      </c>
      <c r="F11" s="36">
        <v>949</v>
      </c>
      <c r="G11" s="34">
        <v>0.2</v>
      </c>
      <c r="H11" s="35">
        <f>F11*0.2</f>
        <v>189.8</v>
      </c>
      <c r="I11" s="35" t="s">
        <v>135</v>
      </c>
      <c r="J11" s="37">
        <v>22</v>
      </c>
      <c r="K11" s="37">
        <v>15</v>
      </c>
      <c r="L11" s="37">
        <v>8</v>
      </c>
      <c r="M11" s="37"/>
      <c r="N11" s="38"/>
      <c r="O11" s="38"/>
      <c r="P11" s="37"/>
      <c r="Q11" s="39"/>
      <c r="R11" s="39"/>
      <c r="S11" s="39"/>
      <c r="T11" s="39"/>
      <c r="U11" s="39"/>
      <c r="V11" s="39">
        <f t="shared" si="0"/>
        <v>45</v>
      </c>
      <c r="W11" s="40">
        <f t="shared" si="1"/>
        <v>0.23709167544783982</v>
      </c>
    </row>
    <row r="12" spans="1:23" ht="54.75" customHeight="1">
      <c r="A12" s="4" t="s">
        <v>13</v>
      </c>
      <c r="B12" s="5" t="s">
        <v>90</v>
      </c>
      <c r="C12" s="1" t="s">
        <v>19</v>
      </c>
      <c r="D12" s="1" t="s">
        <v>77</v>
      </c>
      <c r="E12" s="44" t="s">
        <v>31</v>
      </c>
      <c r="F12" s="36">
        <v>949</v>
      </c>
      <c r="G12" s="34">
        <v>0.2</v>
      </c>
      <c r="H12" s="35">
        <f>F12*0.2</f>
        <v>189.8</v>
      </c>
      <c r="I12" s="35" t="s">
        <v>140</v>
      </c>
      <c r="J12" s="37">
        <v>6</v>
      </c>
      <c r="K12" s="37">
        <v>10</v>
      </c>
      <c r="L12" s="37">
        <v>13</v>
      </c>
      <c r="M12" s="37"/>
      <c r="N12" s="38"/>
      <c r="O12" s="38"/>
      <c r="P12" s="37"/>
      <c r="Q12" s="39"/>
      <c r="R12" s="39"/>
      <c r="S12" s="39"/>
      <c r="T12" s="39"/>
      <c r="U12" s="39"/>
      <c r="V12" s="39">
        <f t="shared" si="0"/>
        <v>29</v>
      </c>
      <c r="W12" s="40">
        <f t="shared" si="1"/>
        <v>0.15279241306638566</v>
      </c>
    </row>
    <row r="13" spans="1:23" ht="63" customHeight="1">
      <c r="A13" s="8" t="s">
        <v>13</v>
      </c>
      <c r="B13" s="7" t="s">
        <v>91</v>
      </c>
      <c r="C13" s="3" t="s">
        <v>20</v>
      </c>
      <c r="D13" s="3" t="s">
        <v>59</v>
      </c>
      <c r="E13" s="45" t="s">
        <v>31</v>
      </c>
      <c r="F13" s="36">
        <v>949</v>
      </c>
      <c r="G13" s="34">
        <v>0.2</v>
      </c>
      <c r="H13" s="35">
        <f>F13*0.2</f>
        <v>189.8</v>
      </c>
      <c r="I13" s="35" t="s">
        <v>149</v>
      </c>
      <c r="J13" s="37">
        <v>4</v>
      </c>
      <c r="K13" s="37">
        <v>1</v>
      </c>
      <c r="L13" s="37">
        <v>1</v>
      </c>
      <c r="M13" s="37"/>
      <c r="N13" s="38"/>
      <c r="O13" s="38"/>
      <c r="P13" s="37"/>
      <c r="Q13" s="39"/>
      <c r="R13" s="39"/>
      <c r="S13" s="39"/>
      <c r="T13" s="39"/>
      <c r="U13" s="39"/>
      <c r="V13" s="39">
        <f t="shared" si="0"/>
        <v>6</v>
      </c>
      <c r="W13" s="40">
        <f t="shared" si="1"/>
        <v>3.1612223393045306E-2</v>
      </c>
    </row>
    <row r="14" spans="1:23" ht="63" customHeight="1">
      <c r="A14" s="9" t="s">
        <v>13</v>
      </c>
      <c r="B14" s="6" t="s">
        <v>104</v>
      </c>
      <c r="C14" s="2" t="s">
        <v>92</v>
      </c>
      <c r="D14" s="2" t="s">
        <v>61</v>
      </c>
      <c r="E14" s="46" t="s">
        <v>60</v>
      </c>
      <c r="F14" s="36" t="s">
        <v>103</v>
      </c>
      <c r="G14" s="34">
        <v>1</v>
      </c>
      <c r="H14" s="34">
        <v>1</v>
      </c>
      <c r="I14" s="35"/>
      <c r="J14" s="37">
        <v>0</v>
      </c>
      <c r="K14" s="37">
        <v>0</v>
      </c>
      <c r="L14" s="37">
        <v>1</v>
      </c>
      <c r="M14" s="37"/>
      <c r="N14" s="38"/>
      <c r="O14" s="38"/>
      <c r="P14" s="37"/>
      <c r="Q14" s="39"/>
      <c r="R14" s="39"/>
      <c r="S14" s="39"/>
      <c r="T14" s="39"/>
      <c r="U14" s="39"/>
      <c r="V14" s="39">
        <f t="shared" si="0"/>
        <v>1</v>
      </c>
      <c r="W14" s="40">
        <f>V14/V13</f>
        <v>0.16666666666666666</v>
      </c>
    </row>
    <row r="15" spans="1:23" ht="70.5" customHeight="1">
      <c r="A15" s="19" t="s">
        <v>13</v>
      </c>
      <c r="B15" s="20" t="s">
        <v>93</v>
      </c>
      <c r="C15" s="21" t="s">
        <v>34</v>
      </c>
      <c r="D15" s="21" t="s">
        <v>32</v>
      </c>
      <c r="E15" s="47" t="s">
        <v>33</v>
      </c>
      <c r="F15" s="36" t="s">
        <v>103</v>
      </c>
      <c r="G15" s="34">
        <v>1</v>
      </c>
      <c r="H15" s="34">
        <v>1</v>
      </c>
      <c r="I15" s="35"/>
      <c r="J15" s="37">
        <v>0</v>
      </c>
      <c r="K15" s="37">
        <v>0</v>
      </c>
      <c r="L15" s="37">
        <v>0</v>
      </c>
      <c r="M15" s="37"/>
      <c r="N15" s="38"/>
      <c r="O15" s="38"/>
      <c r="P15" s="37"/>
      <c r="Q15" s="39"/>
      <c r="R15" s="39"/>
      <c r="S15" s="39"/>
      <c r="T15" s="39"/>
      <c r="U15" s="39"/>
      <c r="V15" s="39">
        <f t="shared" si="0"/>
        <v>0</v>
      </c>
      <c r="W15" s="40">
        <f>V15/V14</f>
        <v>0</v>
      </c>
    </row>
    <row r="16" spans="1:23" ht="63.75">
      <c r="A16" s="9" t="s">
        <v>14</v>
      </c>
      <c r="B16" s="6" t="s">
        <v>94</v>
      </c>
      <c r="C16" s="2" t="s">
        <v>64</v>
      </c>
      <c r="D16" s="2" t="s">
        <v>63</v>
      </c>
      <c r="E16" s="46" t="s">
        <v>62</v>
      </c>
      <c r="F16" s="36">
        <v>2175</v>
      </c>
      <c r="G16" s="34">
        <v>0.5</v>
      </c>
      <c r="H16" s="35">
        <f>F16*0.5</f>
        <v>1087.5</v>
      </c>
      <c r="I16" s="35" t="s">
        <v>108</v>
      </c>
      <c r="J16" s="37">
        <v>16</v>
      </c>
      <c r="K16" s="37">
        <v>11</v>
      </c>
      <c r="L16" s="37">
        <v>10</v>
      </c>
      <c r="M16" s="37"/>
      <c r="N16" s="38"/>
      <c r="O16" s="38"/>
      <c r="P16" s="37"/>
      <c r="Q16" s="39"/>
      <c r="R16" s="39"/>
      <c r="S16" s="39"/>
      <c r="T16" s="39"/>
      <c r="U16" s="39"/>
      <c r="V16" s="39">
        <f t="shared" si="0"/>
        <v>37</v>
      </c>
      <c r="W16" s="40">
        <f t="shared" si="1"/>
        <v>3.4022988505747129E-2</v>
      </c>
    </row>
    <row r="17" spans="1:23" ht="58.5" customHeight="1">
      <c r="A17" s="9" t="s">
        <v>14</v>
      </c>
      <c r="B17" s="6" t="s">
        <v>95</v>
      </c>
      <c r="C17" s="2" t="s">
        <v>67</v>
      </c>
      <c r="D17" s="2" t="s">
        <v>66</v>
      </c>
      <c r="E17" s="46" t="s">
        <v>65</v>
      </c>
      <c r="F17" s="36" t="s">
        <v>103</v>
      </c>
      <c r="G17" s="34">
        <v>1</v>
      </c>
      <c r="H17" s="34">
        <v>1</v>
      </c>
      <c r="I17" s="35"/>
      <c r="J17" s="37">
        <v>0</v>
      </c>
      <c r="K17" s="37">
        <v>2</v>
      </c>
      <c r="L17" s="37">
        <v>1</v>
      </c>
      <c r="M17" s="37"/>
      <c r="N17" s="38"/>
      <c r="O17" s="38"/>
      <c r="P17" s="37"/>
      <c r="Q17" s="39"/>
      <c r="R17" s="39"/>
      <c r="S17" s="39"/>
      <c r="T17" s="39"/>
      <c r="U17" s="39"/>
      <c r="V17" s="39">
        <f t="shared" si="0"/>
        <v>3</v>
      </c>
      <c r="W17" s="40">
        <f>V17/V16</f>
        <v>8.1081081081081086E-2</v>
      </c>
    </row>
    <row r="18" spans="1:23" ht="76.5">
      <c r="A18" s="9" t="s">
        <v>14</v>
      </c>
      <c r="B18" s="6" t="s">
        <v>96</v>
      </c>
      <c r="C18" s="2" t="s">
        <v>36</v>
      </c>
      <c r="D18" s="2" t="s">
        <v>68</v>
      </c>
      <c r="E18" s="46" t="s">
        <v>35</v>
      </c>
      <c r="F18" s="36" t="s">
        <v>103</v>
      </c>
      <c r="G18" s="34">
        <v>1</v>
      </c>
      <c r="H18" s="34">
        <v>1</v>
      </c>
      <c r="I18" s="35"/>
      <c r="J18" s="37">
        <v>0</v>
      </c>
      <c r="K18" s="37">
        <v>2</v>
      </c>
      <c r="L18" s="37">
        <v>1</v>
      </c>
      <c r="M18" s="37"/>
      <c r="N18" s="38"/>
      <c r="O18" s="38"/>
      <c r="P18" s="37"/>
      <c r="Q18" s="39"/>
      <c r="R18" s="39"/>
      <c r="S18" s="39"/>
      <c r="T18" s="39"/>
      <c r="U18" s="39"/>
      <c r="V18" s="39">
        <f t="shared" si="0"/>
        <v>3</v>
      </c>
      <c r="W18" s="40">
        <f>V18/V17</f>
        <v>1</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BCB4B-FEFA-4022-9A73-530EBF83125A}">
  <sheetPr>
    <tabColor theme="4" tint="0.39997558519241921"/>
  </sheetPr>
  <dimension ref="A1:X26"/>
  <sheetViews>
    <sheetView workbookViewId="0">
      <pane ySplit="1" topLeftCell="A15" activePane="bottomLeft" state="frozen"/>
      <selection activeCell="E1" sqref="E1"/>
      <selection pane="bottomLeft" activeCell="F2" sqref="F2:H18"/>
    </sheetView>
  </sheetViews>
  <sheetFormatPr baseColWidth="10" defaultColWidth="9.140625" defaultRowHeight="12.75"/>
  <cols>
    <col min="1" max="1" width="11.5703125" style="12" customWidth="1"/>
    <col min="2" max="2" width="15.85546875" style="12" customWidth="1"/>
    <col min="3" max="3" width="37.5703125" style="12" customWidth="1"/>
    <col min="4" max="4" width="34.5703125" style="12" customWidth="1"/>
    <col min="5" max="5" width="33.42578125" style="12" customWidth="1"/>
    <col min="6" max="6" width="18" style="12" customWidth="1"/>
    <col min="7" max="8" width="14.140625" style="11" customWidth="1"/>
    <col min="9" max="9" width="14.85546875" style="12" customWidth="1"/>
    <col min="10" max="13" width="9.42578125" style="12" customWidth="1"/>
    <col min="14" max="14" width="9.42578125" style="12" hidden="1" customWidth="1"/>
    <col min="15" max="15" width="9.7109375" style="12" hidden="1" customWidth="1"/>
    <col min="16" max="16" width="9.140625" style="12" hidden="1" customWidth="1"/>
    <col min="17" max="17" width="12.42578125" style="12" hidden="1" customWidth="1"/>
    <col min="18" max="18" width="11.42578125" style="12" hidden="1" customWidth="1"/>
    <col min="19" max="19" width="9.140625" style="12" hidden="1" customWidth="1"/>
    <col min="20" max="20" width="10.85546875" style="12" hidden="1" customWidth="1"/>
    <col min="21" max="21" width="11.7109375" style="12" hidden="1" customWidth="1"/>
    <col min="22" max="22" width="12.7109375" style="12" customWidth="1"/>
    <col min="23" max="16384" width="9.140625" style="12"/>
  </cols>
  <sheetData>
    <row r="1" spans="1:24" s="18" customFormat="1" ht="24">
      <c r="A1" s="14" t="s">
        <v>23</v>
      </c>
      <c r="B1" s="14" t="s">
        <v>79</v>
      </c>
      <c r="C1" s="15" t="s">
        <v>24</v>
      </c>
      <c r="D1" s="15" t="s">
        <v>22</v>
      </c>
      <c r="E1" s="15" t="s">
        <v>25</v>
      </c>
      <c r="F1" s="48" t="s">
        <v>38</v>
      </c>
      <c r="G1" s="16" t="s">
        <v>97</v>
      </c>
      <c r="H1" s="16" t="s">
        <v>99</v>
      </c>
      <c r="I1" s="16" t="s">
        <v>152</v>
      </c>
      <c r="J1" s="17" t="s">
        <v>37</v>
      </c>
      <c r="K1" s="17" t="s">
        <v>1</v>
      </c>
      <c r="L1" s="17" t="s">
        <v>2</v>
      </c>
      <c r="M1" s="17" t="s">
        <v>3</v>
      </c>
      <c r="N1" s="17" t="s">
        <v>4</v>
      </c>
      <c r="O1" s="17" t="s">
        <v>5</v>
      </c>
      <c r="P1" s="17" t="s">
        <v>6</v>
      </c>
      <c r="Q1" s="17" t="s">
        <v>7</v>
      </c>
      <c r="R1" s="17" t="s">
        <v>8</v>
      </c>
      <c r="S1" s="17" t="s">
        <v>9</v>
      </c>
      <c r="T1" s="17" t="s">
        <v>10</v>
      </c>
      <c r="U1" s="17" t="s">
        <v>11</v>
      </c>
      <c r="V1" s="16" t="s">
        <v>101</v>
      </c>
      <c r="W1" s="16" t="s">
        <v>102</v>
      </c>
    </row>
    <row r="2" spans="1:24" ht="38.25">
      <c r="A2" s="22" t="s">
        <v>0</v>
      </c>
      <c r="B2" s="30" t="s">
        <v>80</v>
      </c>
      <c r="C2" s="31" t="s">
        <v>69</v>
      </c>
      <c r="D2" s="23" t="s">
        <v>71</v>
      </c>
      <c r="E2" s="32" t="s">
        <v>27</v>
      </c>
      <c r="F2" s="36">
        <v>452</v>
      </c>
      <c r="G2" s="34">
        <v>0.33</v>
      </c>
      <c r="H2" s="35">
        <f>F2*0.33</f>
        <v>149.16</v>
      </c>
      <c r="I2" s="35"/>
      <c r="J2" s="37">
        <v>4</v>
      </c>
      <c r="K2" s="37">
        <v>9</v>
      </c>
      <c r="L2" s="37">
        <v>38</v>
      </c>
      <c r="M2" s="37">
        <v>22</v>
      </c>
      <c r="N2" s="38"/>
      <c r="O2" s="38"/>
      <c r="P2" s="39"/>
      <c r="Q2" s="39"/>
      <c r="R2" s="39"/>
      <c r="S2" s="39"/>
      <c r="T2" s="39"/>
      <c r="U2" s="39"/>
      <c r="V2" s="39">
        <f>SUM(J2:U2)</f>
        <v>73</v>
      </c>
      <c r="W2" s="40">
        <f>V2/H2</f>
        <v>0.48940734781442746</v>
      </c>
    </row>
    <row r="3" spans="1:24" ht="51">
      <c r="A3" s="22" t="s">
        <v>0</v>
      </c>
      <c r="B3" s="30" t="s">
        <v>81</v>
      </c>
      <c r="C3" s="31" t="s">
        <v>50</v>
      </c>
      <c r="D3" s="23" t="s">
        <v>49</v>
      </c>
      <c r="E3" s="33" t="s">
        <v>48</v>
      </c>
      <c r="F3" s="36" t="s">
        <v>103</v>
      </c>
      <c r="G3" s="34">
        <v>1</v>
      </c>
      <c r="H3" s="34">
        <v>1</v>
      </c>
      <c r="I3" s="35"/>
      <c r="J3" s="37">
        <v>2</v>
      </c>
      <c r="K3" s="37">
        <v>2</v>
      </c>
      <c r="L3" s="37">
        <v>0</v>
      </c>
      <c r="M3" s="37">
        <v>1</v>
      </c>
      <c r="N3" s="38"/>
      <c r="O3" s="38"/>
      <c r="P3" s="39"/>
      <c r="Q3" s="39"/>
      <c r="R3" s="39"/>
      <c r="S3" s="39"/>
      <c r="T3" s="39"/>
      <c r="U3" s="39"/>
      <c r="V3" s="39">
        <f>SUM(J3:U3)</f>
        <v>5</v>
      </c>
      <c r="W3" s="41">
        <f>V3/V2</f>
        <v>6.8493150684931503E-2</v>
      </c>
      <c r="X3" s="12">
        <v>3438</v>
      </c>
    </row>
    <row r="4" spans="1:24" ht="51">
      <c r="A4" s="22" t="s">
        <v>0</v>
      </c>
      <c r="B4" s="30" t="s">
        <v>82</v>
      </c>
      <c r="C4" s="31" t="s">
        <v>70</v>
      </c>
      <c r="D4" s="32" t="s">
        <v>72</v>
      </c>
      <c r="E4" s="42" t="s">
        <v>26</v>
      </c>
      <c r="F4" s="36">
        <v>3070</v>
      </c>
      <c r="G4" s="34">
        <v>0.2</v>
      </c>
      <c r="H4" s="35">
        <f>F4*0.2</f>
        <v>614</v>
      </c>
      <c r="I4" s="35" t="s">
        <v>120</v>
      </c>
      <c r="J4" s="37">
        <v>2</v>
      </c>
      <c r="K4" s="37">
        <v>55</v>
      </c>
      <c r="L4" s="37">
        <v>75</v>
      </c>
      <c r="M4" s="37">
        <v>50</v>
      </c>
      <c r="N4" s="38"/>
      <c r="O4" s="38"/>
      <c r="P4" s="37"/>
      <c r="Q4" s="39"/>
      <c r="R4" s="39"/>
      <c r="S4" s="39"/>
      <c r="T4" s="39"/>
      <c r="U4" s="39"/>
      <c r="V4" s="39">
        <f t="shared" ref="V4:V18" si="0">SUM(J4:U4)</f>
        <v>182</v>
      </c>
      <c r="W4" s="40">
        <f t="shared" ref="W4:W16" si="1">V4/H4</f>
        <v>0.29641693811074921</v>
      </c>
    </row>
    <row r="5" spans="1:24" ht="38.25">
      <c r="A5" s="22" t="s">
        <v>0</v>
      </c>
      <c r="B5" s="30" t="s">
        <v>83</v>
      </c>
      <c r="C5" s="31" t="s">
        <v>51</v>
      </c>
      <c r="D5" s="31" t="s">
        <v>46</v>
      </c>
      <c r="E5" s="43" t="s">
        <v>45</v>
      </c>
      <c r="F5" s="36" t="s">
        <v>103</v>
      </c>
      <c r="G5" s="34">
        <v>1</v>
      </c>
      <c r="H5" s="34">
        <v>1</v>
      </c>
      <c r="I5" s="35"/>
      <c r="J5" s="37">
        <v>0</v>
      </c>
      <c r="K5" s="37">
        <v>6</v>
      </c>
      <c r="L5" s="37">
        <v>3</v>
      </c>
      <c r="M5" s="37">
        <v>0</v>
      </c>
      <c r="N5" s="38"/>
      <c r="O5" s="38"/>
      <c r="P5" s="37"/>
      <c r="Q5" s="39"/>
      <c r="R5" s="39"/>
      <c r="S5" s="39"/>
      <c r="T5" s="39"/>
      <c r="U5" s="39"/>
      <c r="V5" s="39">
        <f t="shared" si="0"/>
        <v>9</v>
      </c>
      <c r="W5" s="40">
        <f>V5/V4</f>
        <v>4.9450549450549448E-2</v>
      </c>
    </row>
    <row r="6" spans="1:24" ht="51">
      <c r="A6" s="22" t="s">
        <v>0</v>
      </c>
      <c r="B6" s="22" t="s">
        <v>84</v>
      </c>
      <c r="C6" s="23" t="s">
        <v>18</v>
      </c>
      <c r="D6" s="23" t="s">
        <v>52</v>
      </c>
      <c r="E6" s="32" t="s">
        <v>47</v>
      </c>
      <c r="F6" s="36" t="s">
        <v>103</v>
      </c>
      <c r="G6" s="34">
        <v>1</v>
      </c>
      <c r="H6" s="34">
        <v>1</v>
      </c>
      <c r="I6" s="35"/>
      <c r="J6" s="37">
        <v>3</v>
      </c>
      <c r="K6" s="37">
        <v>0</v>
      </c>
      <c r="L6" s="37">
        <v>0</v>
      </c>
      <c r="M6" s="37">
        <v>0</v>
      </c>
      <c r="N6" s="38"/>
      <c r="O6" s="38"/>
      <c r="P6" s="37"/>
      <c r="Q6" s="39"/>
      <c r="R6" s="39"/>
      <c r="S6" s="39"/>
      <c r="T6" s="39"/>
      <c r="U6" s="39"/>
      <c r="V6" s="39">
        <f t="shared" si="0"/>
        <v>3</v>
      </c>
      <c r="W6" s="40">
        <f>V6/V3</f>
        <v>0.6</v>
      </c>
    </row>
    <row r="7" spans="1:24" ht="56.25" customHeight="1">
      <c r="A7" s="22" t="s">
        <v>12</v>
      </c>
      <c r="B7" s="24" t="s">
        <v>85</v>
      </c>
      <c r="C7" s="23" t="s">
        <v>53</v>
      </c>
      <c r="D7" s="23" t="s">
        <v>73</v>
      </c>
      <c r="E7" s="32" t="s">
        <v>28</v>
      </c>
      <c r="F7" s="36">
        <v>2331</v>
      </c>
      <c r="G7" s="34">
        <v>1</v>
      </c>
      <c r="H7" s="35">
        <f>F7*1</f>
        <v>2331</v>
      </c>
      <c r="I7" s="35"/>
      <c r="J7" s="37">
        <v>329</v>
      </c>
      <c r="K7" s="37">
        <v>441</v>
      </c>
      <c r="L7" s="37">
        <v>169</v>
      </c>
      <c r="M7" s="37">
        <v>170</v>
      </c>
      <c r="N7" s="38"/>
      <c r="O7" s="38"/>
      <c r="P7" s="37"/>
      <c r="Q7" s="39"/>
      <c r="R7" s="39"/>
      <c r="S7" s="39"/>
      <c r="T7" s="39"/>
      <c r="U7" s="39"/>
      <c r="V7" s="39">
        <f t="shared" si="0"/>
        <v>1109</v>
      </c>
      <c r="W7" s="40">
        <f t="shared" si="1"/>
        <v>0.47576147576147576</v>
      </c>
      <c r="X7" s="12">
        <v>2282</v>
      </c>
    </row>
    <row r="8" spans="1:24" ht="54" customHeight="1">
      <c r="A8" s="22" t="s">
        <v>12</v>
      </c>
      <c r="B8" s="25" t="s">
        <v>86</v>
      </c>
      <c r="C8" s="26" t="s">
        <v>54</v>
      </c>
      <c r="D8" s="26" t="s">
        <v>55</v>
      </c>
      <c r="E8" s="33" t="s">
        <v>29</v>
      </c>
      <c r="F8" s="36">
        <v>1332</v>
      </c>
      <c r="G8" s="34">
        <v>0.5</v>
      </c>
      <c r="H8" s="35">
        <f>F8*0.5</f>
        <v>666</v>
      </c>
      <c r="I8" s="35" t="s">
        <v>127</v>
      </c>
      <c r="J8" s="37">
        <v>53</v>
      </c>
      <c r="K8" s="37">
        <v>93</v>
      </c>
      <c r="L8" s="37">
        <v>27</v>
      </c>
      <c r="M8" s="37">
        <v>2</v>
      </c>
      <c r="N8" s="38"/>
      <c r="O8" s="38"/>
      <c r="P8" s="37"/>
      <c r="Q8" s="39"/>
      <c r="R8" s="39"/>
      <c r="S8" s="39"/>
      <c r="T8" s="39"/>
      <c r="U8" s="39"/>
      <c r="V8" s="39">
        <f t="shared" si="0"/>
        <v>175</v>
      </c>
      <c r="W8" s="40">
        <f t="shared" si="1"/>
        <v>0.26276276276276278</v>
      </c>
    </row>
    <row r="9" spans="1:24" ht="54" customHeight="1">
      <c r="A9" s="22" t="s">
        <v>12</v>
      </c>
      <c r="B9" s="25" t="s">
        <v>87</v>
      </c>
      <c r="C9" s="26" t="s">
        <v>57</v>
      </c>
      <c r="D9" s="26" t="s">
        <v>74</v>
      </c>
      <c r="E9" s="33" t="s">
        <v>56</v>
      </c>
      <c r="F9" s="36" t="s">
        <v>103</v>
      </c>
      <c r="G9" s="34">
        <v>1</v>
      </c>
      <c r="H9" s="34">
        <v>1</v>
      </c>
      <c r="I9" s="35"/>
      <c r="J9" s="37">
        <v>0</v>
      </c>
      <c r="K9" s="37">
        <v>0</v>
      </c>
      <c r="L9" s="37">
        <v>0</v>
      </c>
      <c r="M9" s="37">
        <v>0</v>
      </c>
      <c r="N9" s="38"/>
      <c r="O9" s="38"/>
      <c r="P9" s="37"/>
      <c r="Q9" s="39"/>
      <c r="R9" s="39"/>
      <c r="S9" s="39"/>
      <c r="T9" s="39"/>
      <c r="U9" s="39"/>
      <c r="V9" s="39">
        <f t="shared" si="0"/>
        <v>0</v>
      </c>
      <c r="W9" s="40">
        <f>V9/V8</f>
        <v>0</v>
      </c>
    </row>
    <row r="10" spans="1:24" ht="65.25" customHeight="1">
      <c r="A10" s="27" t="s">
        <v>12</v>
      </c>
      <c r="B10" s="28" t="s">
        <v>88</v>
      </c>
      <c r="C10" s="29" t="s">
        <v>58</v>
      </c>
      <c r="D10" s="29" t="s">
        <v>75</v>
      </c>
      <c r="E10" s="42" t="s">
        <v>30</v>
      </c>
      <c r="F10" s="36" t="s">
        <v>103</v>
      </c>
      <c r="G10" s="34">
        <v>1</v>
      </c>
      <c r="H10" s="34">
        <v>1</v>
      </c>
      <c r="I10" s="35"/>
      <c r="J10" s="37">
        <v>0</v>
      </c>
      <c r="K10" s="37">
        <v>0</v>
      </c>
      <c r="L10" s="37">
        <v>0</v>
      </c>
      <c r="M10" s="37">
        <v>0</v>
      </c>
      <c r="N10" s="38"/>
      <c r="O10" s="38"/>
      <c r="P10" s="37"/>
      <c r="Q10" s="39"/>
      <c r="R10" s="39"/>
      <c r="S10" s="39"/>
      <c r="T10" s="39"/>
      <c r="U10" s="39"/>
      <c r="V10" s="39">
        <f t="shared" si="0"/>
        <v>0</v>
      </c>
      <c r="W10" s="40">
        <f>V10/V8</f>
        <v>0</v>
      </c>
    </row>
    <row r="11" spans="1:24" ht="55.5" customHeight="1">
      <c r="A11" s="22" t="s">
        <v>13</v>
      </c>
      <c r="B11" s="22" t="s">
        <v>89</v>
      </c>
      <c r="C11" s="23" t="s">
        <v>21</v>
      </c>
      <c r="D11" s="23" t="s">
        <v>76</v>
      </c>
      <c r="E11" s="32" t="s">
        <v>31</v>
      </c>
      <c r="F11" s="36">
        <v>1452</v>
      </c>
      <c r="G11" s="34">
        <v>0.2</v>
      </c>
      <c r="H11" s="35">
        <f>F11*0.2</f>
        <v>290.40000000000003</v>
      </c>
      <c r="I11" s="35" t="s">
        <v>134</v>
      </c>
      <c r="J11" s="37">
        <v>45</v>
      </c>
      <c r="K11" s="37">
        <v>48</v>
      </c>
      <c r="L11" s="37">
        <v>113</v>
      </c>
      <c r="M11" s="37">
        <v>136</v>
      </c>
      <c r="N11" s="38"/>
      <c r="O11" s="38"/>
      <c r="P11" s="37"/>
      <c r="Q11" s="39"/>
      <c r="R11" s="39"/>
      <c r="S11" s="39"/>
      <c r="T11" s="39"/>
      <c r="U11" s="39"/>
      <c r="V11" s="39">
        <f t="shared" si="0"/>
        <v>342</v>
      </c>
      <c r="W11" s="40">
        <f t="shared" si="1"/>
        <v>1.1776859504132231</v>
      </c>
      <c r="X11" s="12">
        <v>1424</v>
      </c>
    </row>
    <row r="12" spans="1:24" ht="54.75" customHeight="1">
      <c r="A12" s="4" t="s">
        <v>13</v>
      </c>
      <c r="B12" s="5" t="s">
        <v>90</v>
      </c>
      <c r="C12" s="1" t="s">
        <v>19</v>
      </c>
      <c r="D12" s="1" t="s">
        <v>77</v>
      </c>
      <c r="E12" s="44" t="s">
        <v>31</v>
      </c>
      <c r="F12" s="36">
        <v>1452</v>
      </c>
      <c r="G12" s="34">
        <v>0.2</v>
      </c>
      <c r="H12" s="35">
        <f>F12*0.2</f>
        <v>290.40000000000003</v>
      </c>
      <c r="I12" s="35" t="s">
        <v>141</v>
      </c>
      <c r="J12" s="37">
        <v>27</v>
      </c>
      <c r="K12" s="37">
        <v>39</v>
      </c>
      <c r="L12" s="37">
        <v>35</v>
      </c>
      <c r="M12" s="37">
        <v>46</v>
      </c>
      <c r="N12" s="38"/>
      <c r="O12" s="38"/>
      <c r="P12" s="37"/>
      <c r="Q12" s="39"/>
      <c r="R12" s="39"/>
      <c r="S12" s="39"/>
      <c r="T12" s="39"/>
      <c r="U12" s="39"/>
      <c r="V12" s="39">
        <f t="shared" si="0"/>
        <v>147</v>
      </c>
      <c r="W12" s="40">
        <f t="shared" si="1"/>
        <v>0.50619834710743794</v>
      </c>
    </row>
    <row r="13" spans="1:24" ht="63" customHeight="1">
      <c r="A13" s="8" t="s">
        <v>13</v>
      </c>
      <c r="B13" s="7" t="s">
        <v>91</v>
      </c>
      <c r="C13" s="3" t="s">
        <v>20</v>
      </c>
      <c r="D13" s="3" t="s">
        <v>59</v>
      </c>
      <c r="E13" s="45" t="s">
        <v>31</v>
      </c>
      <c r="F13" s="36">
        <v>1452</v>
      </c>
      <c r="G13" s="34">
        <v>0.2</v>
      </c>
      <c r="H13" s="35">
        <f>F13*0.2</f>
        <v>290.40000000000003</v>
      </c>
      <c r="I13" s="35" t="s">
        <v>148</v>
      </c>
      <c r="J13" s="37">
        <v>4</v>
      </c>
      <c r="K13" s="37">
        <v>6</v>
      </c>
      <c r="L13" s="37">
        <v>0</v>
      </c>
      <c r="M13" s="37"/>
      <c r="N13" s="38"/>
      <c r="O13" s="38"/>
      <c r="P13" s="37"/>
      <c r="Q13" s="39"/>
      <c r="R13" s="39"/>
      <c r="S13" s="39"/>
      <c r="T13" s="39"/>
      <c r="U13" s="39"/>
      <c r="V13" s="39">
        <f t="shared" si="0"/>
        <v>10</v>
      </c>
      <c r="W13" s="40">
        <f t="shared" si="1"/>
        <v>3.4435261707988975E-2</v>
      </c>
    </row>
    <row r="14" spans="1:24" ht="63" customHeight="1">
      <c r="A14" s="9" t="s">
        <v>13</v>
      </c>
      <c r="B14" s="6" t="s">
        <v>104</v>
      </c>
      <c r="C14" s="2" t="s">
        <v>92</v>
      </c>
      <c r="D14" s="2" t="s">
        <v>61</v>
      </c>
      <c r="E14" s="46" t="s">
        <v>60</v>
      </c>
      <c r="F14" s="36" t="s">
        <v>103</v>
      </c>
      <c r="G14" s="34">
        <v>1</v>
      </c>
      <c r="H14" s="34">
        <v>1</v>
      </c>
      <c r="I14" s="35" t="s">
        <v>114</v>
      </c>
      <c r="J14" s="37">
        <v>0</v>
      </c>
      <c r="K14" s="37">
        <v>3</v>
      </c>
      <c r="L14" s="37">
        <v>6</v>
      </c>
      <c r="M14" s="37">
        <v>4</v>
      </c>
      <c r="N14" s="38"/>
      <c r="O14" s="38"/>
      <c r="P14" s="37"/>
      <c r="Q14" s="39"/>
      <c r="R14" s="39"/>
      <c r="S14" s="39"/>
      <c r="T14" s="39"/>
      <c r="U14" s="39"/>
      <c r="V14" s="39">
        <f t="shared" si="0"/>
        <v>13</v>
      </c>
      <c r="W14" s="40">
        <f>V14/V13</f>
        <v>1.3</v>
      </c>
    </row>
    <row r="15" spans="1:24" ht="70.5" customHeight="1">
      <c r="A15" s="19" t="s">
        <v>13</v>
      </c>
      <c r="B15" s="20" t="s">
        <v>93</v>
      </c>
      <c r="C15" s="21" t="s">
        <v>34</v>
      </c>
      <c r="D15" s="21" t="s">
        <v>32</v>
      </c>
      <c r="E15" s="47" t="s">
        <v>33</v>
      </c>
      <c r="F15" s="36" t="s">
        <v>103</v>
      </c>
      <c r="G15" s="34">
        <v>1</v>
      </c>
      <c r="H15" s="34">
        <v>1</v>
      </c>
      <c r="I15" s="35"/>
      <c r="J15" s="37">
        <v>0</v>
      </c>
      <c r="K15" s="37">
        <v>0</v>
      </c>
      <c r="L15" s="37">
        <v>0</v>
      </c>
      <c r="M15" s="37">
        <v>0</v>
      </c>
      <c r="N15" s="38"/>
      <c r="O15" s="38"/>
      <c r="P15" s="37"/>
      <c r="Q15" s="39"/>
      <c r="R15" s="39"/>
      <c r="S15" s="39"/>
      <c r="T15" s="39"/>
      <c r="U15" s="39"/>
      <c r="V15" s="39">
        <f t="shared" si="0"/>
        <v>0</v>
      </c>
      <c r="W15" s="40">
        <f>V15/V14</f>
        <v>0</v>
      </c>
    </row>
    <row r="16" spans="1:24" ht="63.75">
      <c r="A16" s="9" t="s">
        <v>14</v>
      </c>
      <c r="B16" s="6" t="s">
        <v>94</v>
      </c>
      <c r="C16" s="2" t="s">
        <v>64</v>
      </c>
      <c r="D16" s="2" t="s">
        <v>63</v>
      </c>
      <c r="E16" s="46" t="s">
        <v>62</v>
      </c>
      <c r="F16" s="36">
        <v>3010</v>
      </c>
      <c r="G16" s="34">
        <v>0.5</v>
      </c>
      <c r="H16" s="35">
        <f>F16*0.5</f>
        <v>1505</v>
      </c>
      <c r="I16" s="35" t="s">
        <v>109</v>
      </c>
      <c r="J16" s="37">
        <v>64</v>
      </c>
      <c r="K16" s="37">
        <v>91</v>
      </c>
      <c r="L16" s="37">
        <v>3</v>
      </c>
      <c r="M16" s="37">
        <v>34</v>
      </c>
      <c r="N16" s="38"/>
      <c r="O16" s="38"/>
      <c r="P16" s="37"/>
      <c r="Q16" s="39"/>
      <c r="R16" s="39"/>
      <c r="S16" s="39"/>
      <c r="T16" s="39"/>
      <c r="U16" s="39"/>
      <c r="V16" s="39">
        <f t="shared" si="0"/>
        <v>192</v>
      </c>
      <c r="W16" s="40">
        <f t="shared" si="1"/>
        <v>0.12757475083056477</v>
      </c>
      <c r="X16" s="12">
        <v>2992</v>
      </c>
    </row>
    <row r="17" spans="1:23" ht="58.5" customHeight="1">
      <c r="A17" s="9" t="s">
        <v>14</v>
      </c>
      <c r="B17" s="6" t="s">
        <v>95</v>
      </c>
      <c r="C17" s="2" t="s">
        <v>67</v>
      </c>
      <c r="D17" s="2" t="s">
        <v>66</v>
      </c>
      <c r="E17" s="46" t="s">
        <v>65</v>
      </c>
      <c r="F17" s="36" t="s">
        <v>103</v>
      </c>
      <c r="G17" s="34">
        <v>1</v>
      </c>
      <c r="H17" s="34">
        <v>1</v>
      </c>
      <c r="I17" s="35"/>
      <c r="J17" s="37">
        <v>1</v>
      </c>
      <c r="K17" s="37">
        <v>7</v>
      </c>
      <c r="L17" s="37">
        <v>0</v>
      </c>
      <c r="M17" s="37">
        <v>8</v>
      </c>
      <c r="N17" s="38"/>
      <c r="O17" s="38"/>
      <c r="P17" s="37"/>
      <c r="Q17" s="39"/>
      <c r="R17" s="39"/>
      <c r="S17" s="39"/>
      <c r="T17" s="39"/>
      <c r="U17" s="39"/>
      <c r="V17" s="39">
        <f t="shared" si="0"/>
        <v>16</v>
      </c>
      <c r="W17" s="40">
        <f>V17/V16</f>
        <v>8.3333333333333329E-2</v>
      </c>
    </row>
    <row r="18" spans="1:23" ht="76.5">
      <c r="A18" s="9" t="s">
        <v>14</v>
      </c>
      <c r="B18" s="6" t="s">
        <v>96</v>
      </c>
      <c r="C18" s="2" t="s">
        <v>36</v>
      </c>
      <c r="D18" s="2" t="s">
        <v>68</v>
      </c>
      <c r="E18" s="46" t="s">
        <v>35</v>
      </c>
      <c r="F18" s="36" t="s">
        <v>103</v>
      </c>
      <c r="G18" s="34">
        <v>1</v>
      </c>
      <c r="H18" s="34">
        <v>1</v>
      </c>
      <c r="I18" s="35"/>
      <c r="J18" s="37">
        <v>0</v>
      </c>
      <c r="K18" s="37">
        <v>0</v>
      </c>
      <c r="L18" s="37">
        <v>0</v>
      </c>
      <c r="M18" s="37">
        <v>0</v>
      </c>
      <c r="N18" s="38"/>
      <c r="O18" s="38"/>
      <c r="P18" s="37"/>
      <c r="Q18" s="39"/>
      <c r="R18" s="39"/>
      <c r="S18" s="39"/>
      <c r="T18" s="39"/>
      <c r="U18" s="39"/>
      <c r="V18" s="39">
        <f t="shared" si="0"/>
        <v>0</v>
      </c>
      <c r="W18" s="40">
        <f>V18/V17</f>
        <v>0</v>
      </c>
    </row>
    <row r="21" spans="1:23">
      <c r="A21" s="12" t="s">
        <v>159</v>
      </c>
    </row>
    <row r="22" spans="1:23">
      <c r="A22" s="50">
        <v>46129</v>
      </c>
      <c r="B22" s="12" t="s">
        <v>167</v>
      </c>
    </row>
    <row r="23" spans="1:23">
      <c r="B23" s="12" t="s">
        <v>168</v>
      </c>
    </row>
    <row r="24" spans="1:23">
      <c r="B24" s="12" t="s">
        <v>169</v>
      </c>
    </row>
    <row r="25" spans="1:23">
      <c r="B25" s="12" t="s">
        <v>170</v>
      </c>
    </row>
    <row r="26" spans="1:23">
      <c r="B26" s="12" t="s">
        <v>171</v>
      </c>
    </row>
  </sheetData>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16580-0651-4663-A055-1FF7FBC205EF}">
  <sheetPr>
    <tabColor theme="7" tint="0.59999389629810485"/>
  </sheetPr>
  <dimension ref="A1:W21"/>
  <sheetViews>
    <sheetView workbookViewId="0">
      <pane ySplit="1" topLeftCell="A4" activePane="bottomLeft" state="frozen"/>
      <selection activeCell="E1" sqref="E1"/>
      <selection pane="bottomLeft" activeCell="A8" sqref="A8"/>
    </sheetView>
  </sheetViews>
  <sheetFormatPr baseColWidth="10" defaultColWidth="9.140625" defaultRowHeight="12.75"/>
  <cols>
    <col min="1" max="1" width="11.5703125" style="12" customWidth="1"/>
    <col min="2" max="2" width="15.85546875" style="12" customWidth="1"/>
    <col min="3" max="3" width="37.5703125" style="12" customWidth="1"/>
    <col min="4" max="4" width="34.5703125" style="12" customWidth="1"/>
    <col min="5" max="5" width="33.42578125" style="12" customWidth="1"/>
    <col min="6" max="6" width="18" style="12" customWidth="1"/>
    <col min="7" max="8" width="14.140625" style="11" customWidth="1"/>
    <col min="9" max="9" width="14.85546875" style="12" customWidth="1"/>
    <col min="10" max="13" width="9.42578125" style="12" customWidth="1"/>
    <col min="14" max="14" width="9.42578125" style="12" hidden="1" customWidth="1"/>
    <col min="15" max="15" width="9.7109375" style="12" hidden="1" customWidth="1"/>
    <col min="16" max="16" width="9.140625" style="12" hidden="1" customWidth="1"/>
    <col min="17" max="17" width="12.42578125" style="12" hidden="1" customWidth="1"/>
    <col min="18" max="18" width="11.42578125" style="12" hidden="1" customWidth="1"/>
    <col min="19" max="19" width="9.140625" style="12" hidden="1" customWidth="1"/>
    <col min="20" max="20" width="10.85546875" style="12" hidden="1" customWidth="1"/>
    <col min="21" max="21" width="11.7109375" style="12" hidden="1" customWidth="1"/>
    <col min="22" max="22" width="12.7109375" style="12" customWidth="1"/>
    <col min="23" max="16384" width="9.140625" style="12"/>
  </cols>
  <sheetData>
    <row r="1" spans="1:23" s="18" customFormat="1" ht="24">
      <c r="A1" s="14" t="s">
        <v>23</v>
      </c>
      <c r="B1" s="14" t="s">
        <v>79</v>
      </c>
      <c r="C1" s="15" t="s">
        <v>24</v>
      </c>
      <c r="D1" s="15" t="s">
        <v>22</v>
      </c>
      <c r="E1" s="15" t="s">
        <v>25</v>
      </c>
      <c r="F1" s="48" t="s">
        <v>38</v>
      </c>
      <c r="G1" s="16" t="s">
        <v>97</v>
      </c>
      <c r="H1" s="16" t="s">
        <v>99</v>
      </c>
      <c r="I1" s="16" t="s">
        <v>152</v>
      </c>
      <c r="J1" s="17" t="s">
        <v>37</v>
      </c>
      <c r="K1" s="17" t="s">
        <v>1</v>
      </c>
      <c r="L1" s="17" t="s">
        <v>2</v>
      </c>
      <c r="M1" s="17" t="s">
        <v>3</v>
      </c>
      <c r="N1" s="17" t="s">
        <v>4</v>
      </c>
      <c r="O1" s="17" t="s">
        <v>5</v>
      </c>
      <c r="P1" s="17" t="s">
        <v>6</v>
      </c>
      <c r="Q1" s="17" t="s">
        <v>7</v>
      </c>
      <c r="R1" s="17" t="s">
        <v>8</v>
      </c>
      <c r="S1" s="17" t="s">
        <v>9</v>
      </c>
      <c r="T1" s="17" t="s">
        <v>10</v>
      </c>
      <c r="U1" s="17" t="s">
        <v>11</v>
      </c>
      <c r="V1" s="16" t="s">
        <v>101</v>
      </c>
      <c r="W1" s="16" t="s">
        <v>102</v>
      </c>
    </row>
    <row r="2" spans="1:23" ht="38.25">
      <c r="A2" s="22" t="s">
        <v>0</v>
      </c>
      <c r="B2" s="30" t="s">
        <v>80</v>
      </c>
      <c r="C2" s="31" t="s">
        <v>69</v>
      </c>
      <c r="D2" s="23" t="s">
        <v>71</v>
      </c>
      <c r="E2" s="32" t="s">
        <v>27</v>
      </c>
      <c r="F2" s="36">
        <v>274</v>
      </c>
      <c r="G2" s="34">
        <v>0.33</v>
      </c>
      <c r="H2" s="35">
        <f>F2*0.33</f>
        <v>90.42</v>
      </c>
      <c r="I2" s="35" t="s">
        <v>113</v>
      </c>
      <c r="J2" s="37">
        <v>93</v>
      </c>
      <c r="K2" s="37">
        <v>34</v>
      </c>
      <c r="L2" s="37">
        <v>39</v>
      </c>
      <c r="M2" s="37">
        <v>6</v>
      </c>
      <c r="N2" s="38"/>
      <c r="O2" s="38"/>
      <c r="P2" s="39"/>
      <c r="Q2" s="39"/>
      <c r="R2" s="39"/>
      <c r="S2" s="39"/>
      <c r="T2" s="39"/>
      <c r="U2" s="39"/>
      <c r="V2" s="39">
        <f>SUM(J2:U2)</f>
        <v>172</v>
      </c>
      <c r="W2" s="40">
        <f>V2/H2</f>
        <v>1.9022340190223401</v>
      </c>
    </row>
    <row r="3" spans="1:23" ht="51">
      <c r="A3" s="22" t="s">
        <v>0</v>
      </c>
      <c r="B3" s="30" t="s">
        <v>81</v>
      </c>
      <c r="C3" s="31" t="s">
        <v>50</v>
      </c>
      <c r="D3" s="23" t="s">
        <v>49</v>
      </c>
      <c r="E3" s="33" t="s">
        <v>48</v>
      </c>
      <c r="F3" s="36" t="s">
        <v>103</v>
      </c>
      <c r="G3" s="34">
        <v>1</v>
      </c>
      <c r="H3" s="34">
        <v>1</v>
      </c>
      <c r="I3" s="35"/>
      <c r="J3" s="37">
        <v>0</v>
      </c>
      <c r="K3" s="37">
        <v>0</v>
      </c>
      <c r="L3" s="37">
        <v>0</v>
      </c>
      <c r="M3" s="37">
        <v>0</v>
      </c>
      <c r="N3" s="38"/>
      <c r="O3" s="38"/>
      <c r="P3" s="39"/>
      <c r="Q3" s="39"/>
      <c r="R3" s="39"/>
      <c r="S3" s="39"/>
      <c r="T3" s="39"/>
      <c r="U3" s="39"/>
      <c r="V3" s="39">
        <f>SUM(J3:U3)</f>
        <v>0</v>
      </c>
      <c r="W3" s="41">
        <f>V3/V2</f>
        <v>0</v>
      </c>
    </row>
    <row r="4" spans="1:23" ht="51">
      <c r="A4" s="22" t="s">
        <v>0</v>
      </c>
      <c r="B4" s="30" t="s">
        <v>82</v>
      </c>
      <c r="C4" s="31" t="s">
        <v>70</v>
      </c>
      <c r="D4" s="32" t="s">
        <v>72</v>
      </c>
      <c r="E4" s="42" t="s">
        <v>26</v>
      </c>
      <c r="F4" s="36">
        <v>2238</v>
      </c>
      <c r="G4" s="34">
        <v>0.2</v>
      </c>
      <c r="H4" s="35">
        <f>F4*0.2</f>
        <v>447.6</v>
      </c>
      <c r="I4" s="35" t="s">
        <v>119</v>
      </c>
      <c r="J4" s="37">
        <v>36</v>
      </c>
      <c r="K4" s="37">
        <v>10</v>
      </c>
      <c r="L4" s="37">
        <v>28</v>
      </c>
      <c r="M4" s="37">
        <v>13</v>
      </c>
      <c r="N4" s="38"/>
      <c r="O4" s="38"/>
      <c r="P4" s="37"/>
      <c r="Q4" s="39"/>
      <c r="R4" s="39"/>
      <c r="S4" s="39"/>
      <c r="T4" s="39"/>
      <c r="U4" s="39"/>
      <c r="V4" s="39">
        <f t="shared" ref="V4:V18" si="0">SUM(J4:U4)</f>
        <v>87</v>
      </c>
      <c r="W4" s="40">
        <f t="shared" ref="W4:W16" si="1">V4/H4</f>
        <v>0.19436997319034852</v>
      </c>
    </row>
    <row r="5" spans="1:23" ht="38.25">
      <c r="A5" s="22" t="s">
        <v>0</v>
      </c>
      <c r="B5" s="30" t="s">
        <v>83</v>
      </c>
      <c r="C5" s="31" t="s">
        <v>51</v>
      </c>
      <c r="D5" s="31" t="s">
        <v>46</v>
      </c>
      <c r="E5" s="43" t="s">
        <v>45</v>
      </c>
      <c r="F5" s="36" t="s">
        <v>103</v>
      </c>
      <c r="G5" s="34">
        <v>1</v>
      </c>
      <c r="H5" s="34">
        <v>1</v>
      </c>
      <c r="I5" s="35"/>
      <c r="J5" s="37">
        <v>0</v>
      </c>
      <c r="K5" s="37">
        <v>1</v>
      </c>
      <c r="L5" s="37">
        <v>1</v>
      </c>
      <c r="M5" s="37">
        <v>0</v>
      </c>
      <c r="N5" s="38"/>
      <c r="O5" s="38"/>
      <c r="P5" s="37"/>
      <c r="Q5" s="39"/>
      <c r="R5" s="39"/>
      <c r="S5" s="39"/>
      <c r="T5" s="39"/>
      <c r="U5" s="39"/>
      <c r="V5" s="39">
        <f t="shared" si="0"/>
        <v>2</v>
      </c>
      <c r="W5" s="40">
        <f>V5/V4</f>
        <v>2.2988505747126436E-2</v>
      </c>
    </row>
    <row r="6" spans="1:23" ht="51">
      <c r="A6" s="22" t="s">
        <v>0</v>
      </c>
      <c r="B6" s="22" t="s">
        <v>84</v>
      </c>
      <c r="C6" s="23" t="s">
        <v>18</v>
      </c>
      <c r="D6" s="23" t="s">
        <v>52</v>
      </c>
      <c r="E6" s="32" t="s">
        <v>47</v>
      </c>
      <c r="F6" s="36" t="s">
        <v>103</v>
      </c>
      <c r="G6" s="34" t="s">
        <v>186</v>
      </c>
      <c r="H6" s="34">
        <v>1</v>
      </c>
      <c r="I6" s="35"/>
      <c r="J6" s="37">
        <v>0</v>
      </c>
      <c r="K6" s="37">
        <v>1</v>
      </c>
      <c r="L6" s="37">
        <v>1</v>
      </c>
      <c r="M6" s="37">
        <v>0</v>
      </c>
      <c r="N6" s="38"/>
      <c r="O6" s="38"/>
      <c r="P6" s="37"/>
      <c r="Q6" s="39"/>
      <c r="R6" s="39"/>
      <c r="S6" s="39"/>
      <c r="T6" s="39"/>
      <c r="U6" s="39"/>
      <c r="V6" s="39">
        <f t="shared" si="0"/>
        <v>2</v>
      </c>
      <c r="W6" s="66" t="e">
        <f>V6/V3</f>
        <v>#DIV/0!</v>
      </c>
    </row>
    <row r="7" spans="1:23" ht="56.25" customHeight="1">
      <c r="A7" s="22" t="s">
        <v>12</v>
      </c>
      <c r="B7" s="24" t="s">
        <v>85</v>
      </c>
      <c r="C7" s="23" t="s">
        <v>53</v>
      </c>
      <c r="D7" s="23" t="s">
        <v>73</v>
      </c>
      <c r="E7" s="32" t="s">
        <v>28</v>
      </c>
      <c r="F7" s="36">
        <v>1778</v>
      </c>
      <c r="G7" s="34">
        <v>1</v>
      </c>
      <c r="H7" s="35">
        <f>F7*1</f>
        <v>1778</v>
      </c>
      <c r="I7" s="35"/>
      <c r="J7" s="37">
        <v>46</v>
      </c>
      <c r="K7" s="37">
        <v>32</v>
      </c>
      <c r="L7" s="37">
        <v>46</v>
      </c>
      <c r="M7" s="37">
        <v>52</v>
      </c>
      <c r="N7" s="38"/>
      <c r="O7" s="38"/>
      <c r="P7" s="37"/>
      <c r="Q7" s="39"/>
      <c r="R7" s="39"/>
      <c r="S7" s="39"/>
      <c r="T7" s="39"/>
      <c r="U7" s="39"/>
      <c r="V7" s="39">
        <f t="shared" si="0"/>
        <v>176</v>
      </c>
      <c r="W7" s="40">
        <f t="shared" si="1"/>
        <v>9.8987626546681667E-2</v>
      </c>
    </row>
    <row r="8" spans="1:23" ht="54" customHeight="1">
      <c r="A8" s="22" t="s">
        <v>12</v>
      </c>
      <c r="B8" s="25" t="s">
        <v>86</v>
      </c>
      <c r="C8" s="26" t="s">
        <v>54</v>
      </c>
      <c r="D8" s="26" t="s">
        <v>55</v>
      </c>
      <c r="E8" s="33" t="s">
        <v>29</v>
      </c>
      <c r="F8" s="36">
        <v>1053</v>
      </c>
      <c r="G8" s="34">
        <v>0.5</v>
      </c>
      <c r="H8" s="35">
        <f>F8*0.5</f>
        <v>526.5</v>
      </c>
      <c r="I8" s="35" t="s">
        <v>128</v>
      </c>
      <c r="J8" s="37">
        <v>37</v>
      </c>
      <c r="K8" s="37">
        <v>24</v>
      </c>
      <c r="L8" s="37">
        <v>89</v>
      </c>
      <c r="M8" s="37">
        <v>42</v>
      </c>
      <c r="N8" s="38"/>
      <c r="O8" s="38"/>
      <c r="P8" s="37"/>
      <c r="Q8" s="39"/>
      <c r="R8" s="39"/>
      <c r="S8" s="39"/>
      <c r="T8" s="39"/>
      <c r="U8" s="39"/>
      <c r="V8" s="39">
        <f t="shared" si="0"/>
        <v>192</v>
      </c>
      <c r="W8" s="40">
        <f t="shared" si="1"/>
        <v>0.36467236467236469</v>
      </c>
    </row>
    <row r="9" spans="1:23" ht="54" customHeight="1">
      <c r="A9" s="22" t="s">
        <v>12</v>
      </c>
      <c r="B9" s="25" t="s">
        <v>87</v>
      </c>
      <c r="C9" s="26" t="s">
        <v>57</v>
      </c>
      <c r="D9" s="26" t="s">
        <v>74</v>
      </c>
      <c r="E9" s="33" t="s">
        <v>56</v>
      </c>
      <c r="F9" s="36" t="s">
        <v>103</v>
      </c>
      <c r="G9" s="34">
        <v>1</v>
      </c>
      <c r="H9" s="34">
        <v>1</v>
      </c>
      <c r="I9" s="35"/>
      <c r="J9" s="37">
        <v>1</v>
      </c>
      <c r="K9" s="37">
        <v>0</v>
      </c>
      <c r="L9" s="37">
        <v>0</v>
      </c>
      <c r="M9" s="37">
        <v>0</v>
      </c>
      <c r="N9" s="38"/>
      <c r="O9" s="38"/>
      <c r="P9" s="37"/>
      <c r="Q9" s="39"/>
      <c r="R9" s="39"/>
      <c r="S9" s="39"/>
      <c r="T9" s="39"/>
      <c r="U9" s="39"/>
      <c r="V9" s="39">
        <f t="shared" si="0"/>
        <v>1</v>
      </c>
      <c r="W9" s="40">
        <f>V9/V8</f>
        <v>5.208333333333333E-3</v>
      </c>
    </row>
    <row r="10" spans="1:23" ht="65.25" customHeight="1">
      <c r="A10" s="27" t="s">
        <v>12</v>
      </c>
      <c r="B10" s="28" t="s">
        <v>88</v>
      </c>
      <c r="C10" s="29" t="s">
        <v>58</v>
      </c>
      <c r="D10" s="29" t="s">
        <v>75</v>
      </c>
      <c r="E10" s="42" t="s">
        <v>30</v>
      </c>
      <c r="F10" s="36" t="s">
        <v>103</v>
      </c>
      <c r="G10" s="34">
        <v>1</v>
      </c>
      <c r="H10" s="34">
        <v>1</v>
      </c>
      <c r="I10" s="35"/>
      <c r="J10" s="37">
        <v>1</v>
      </c>
      <c r="K10" s="37">
        <v>0</v>
      </c>
      <c r="L10" s="37">
        <v>0</v>
      </c>
      <c r="M10" s="37">
        <v>0</v>
      </c>
      <c r="N10" s="38"/>
      <c r="O10" s="38"/>
      <c r="P10" s="37"/>
      <c r="Q10" s="39"/>
      <c r="R10" s="39"/>
      <c r="S10" s="39"/>
      <c r="T10" s="39"/>
      <c r="U10" s="39"/>
      <c r="V10" s="39">
        <f t="shared" si="0"/>
        <v>1</v>
      </c>
      <c r="W10" s="40">
        <f>V10/V8</f>
        <v>5.208333333333333E-3</v>
      </c>
    </row>
    <row r="11" spans="1:23" ht="55.5" customHeight="1">
      <c r="A11" s="22" t="s">
        <v>13</v>
      </c>
      <c r="B11" s="22" t="s">
        <v>89</v>
      </c>
      <c r="C11" s="23" t="s">
        <v>21</v>
      </c>
      <c r="D11" s="23" t="s">
        <v>76</v>
      </c>
      <c r="E11" s="32" t="s">
        <v>31</v>
      </c>
      <c r="F11" s="36">
        <v>1061</v>
      </c>
      <c r="G11" s="34">
        <v>0.2</v>
      </c>
      <c r="H11" s="35">
        <f>F11*0.2</f>
        <v>212.20000000000002</v>
      </c>
      <c r="I11" s="35" t="s">
        <v>133</v>
      </c>
      <c r="J11" s="37">
        <v>16</v>
      </c>
      <c r="K11" s="37">
        <v>33</v>
      </c>
      <c r="L11" s="37">
        <v>38</v>
      </c>
      <c r="M11" s="37">
        <v>52</v>
      </c>
      <c r="N11" s="38"/>
      <c r="O11" s="38"/>
      <c r="P11" s="37"/>
      <c r="Q11" s="39"/>
      <c r="R11" s="39"/>
      <c r="S11" s="39"/>
      <c r="T11" s="39"/>
      <c r="U11" s="39"/>
      <c r="V11" s="39">
        <f t="shared" si="0"/>
        <v>139</v>
      </c>
      <c r="W11" s="40">
        <f t="shared" si="1"/>
        <v>0.65504241281809605</v>
      </c>
    </row>
    <row r="12" spans="1:23" ht="54.75" customHeight="1">
      <c r="A12" s="4" t="s">
        <v>13</v>
      </c>
      <c r="B12" s="5" t="s">
        <v>90</v>
      </c>
      <c r="C12" s="1" t="s">
        <v>19</v>
      </c>
      <c r="D12" s="1" t="s">
        <v>77</v>
      </c>
      <c r="E12" s="44" t="s">
        <v>31</v>
      </c>
      <c r="F12" s="36">
        <v>1061</v>
      </c>
      <c r="G12" s="34">
        <v>0.2</v>
      </c>
      <c r="H12" s="35">
        <f>F12*0.2</f>
        <v>212.20000000000002</v>
      </c>
      <c r="I12" s="35" t="s">
        <v>142</v>
      </c>
      <c r="J12" s="37">
        <v>56</v>
      </c>
      <c r="K12" s="37">
        <v>89</v>
      </c>
      <c r="L12" s="37">
        <v>101</v>
      </c>
      <c r="M12" s="37">
        <v>40</v>
      </c>
      <c r="N12" s="38"/>
      <c r="O12" s="38"/>
      <c r="P12" s="37"/>
      <c r="Q12" s="39"/>
      <c r="R12" s="39"/>
      <c r="S12" s="39"/>
      <c r="T12" s="39"/>
      <c r="U12" s="39"/>
      <c r="V12" s="39">
        <f t="shared" si="0"/>
        <v>286</v>
      </c>
      <c r="W12" s="40">
        <f t="shared" si="1"/>
        <v>1.3477851083883128</v>
      </c>
    </row>
    <row r="13" spans="1:23" ht="63" customHeight="1">
      <c r="A13" s="8" t="s">
        <v>13</v>
      </c>
      <c r="B13" s="7" t="s">
        <v>91</v>
      </c>
      <c r="C13" s="3" t="s">
        <v>20</v>
      </c>
      <c r="D13" s="3" t="s">
        <v>59</v>
      </c>
      <c r="E13" s="45" t="s">
        <v>31</v>
      </c>
      <c r="F13" s="36">
        <v>1061</v>
      </c>
      <c r="G13" s="34">
        <v>0.2</v>
      </c>
      <c r="H13" s="35">
        <f>F13*0.2</f>
        <v>212.20000000000002</v>
      </c>
      <c r="I13" s="35" t="s">
        <v>147</v>
      </c>
      <c r="J13" s="37">
        <v>72</v>
      </c>
      <c r="K13" s="37">
        <v>122</v>
      </c>
      <c r="L13" s="37">
        <v>139</v>
      </c>
      <c r="M13" s="37">
        <v>0</v>
      </c>
      <c r="N13" s="38"/>
      <c r="O13" s="38"/>
      <c r="P13" s="37"/>
      <c r="Q13" s="39"/>
      <c r="R13" s="39"/>
      <c r="S13" s="39"/>
      <c r="T13" s="39"/>
      <c r="U13" s="39"/>
      <c r="V13" s="39">
        <f t="shared" si="0"/>
        <v>333</v>
      </c>
      <c r="W13" s="40">
        <f t="shared" si="1"/>
        <v>1.5692742695570217</v>
      </c>
    </row>
    <row r="14" spans="1:23" ht="63" customHeight="1">
      <c r="A14" s="9" t="s">
        <v>13</v>
      </c>
      <c r="B14" s="6" t="s">
        <v>104</v>
      </c>
      <c r="C14" s="2" t="s">
        <v>92</v>
      </c>
      <c r="D14" s="2" t="s">
        <v>61</v>
      </c>
      <c r="E14" s="46" t="s">
        <v>60</v>
      </c>
      <c r="F14" s="36" t="s">
        <v>103</v>
      </c>
      <c r="G14" s="34">
        <v>1</v>
      </c>
      <c r="H14" s="34">
        <v>1</v>
      </c>
      <c r="I14" s="35"/>
      <c r="J14" s="37">
        <v>0</v>
      </c>
      <c r="K14" s="37">
        <v>0</v>
      </c>
      <c r="L14" s="37">
        <v>0</v>
      </c>
      <c r="M14" s="37">
        <v>0</v>
      </c>
      <c r="N14" s="38"/>
      <c r="O14" s="38"/>
      <c r="P14" s="37"/>
      <c r="Q14" s="39"/>
      <c r="R14" s="39"/>
      <c r="S14" s="39"/>
      <c r="T14" s="39"/>
      <c r="U14" s="39"/>
      <c r="V14" s="39">
        <f t="shared" si="0"/>
        <v>0</v>
      </c>
      <c r="W14" s="40">
        <f>V14/V13</f>
        <v>0</v>
      </c>
    </row>
    <row r="15" spans="1:23" ht="70.5" customHeight="1">
      <c r="A15" s="19" t="s">
        <v>13</v>
      </c>
      <c r="B15" s="20" t="s">
        <v>93</v>
      </c>
      <c r="C15" s="21" t="s">
        <v>34</v>
      </c>
      <c r="D15" s="21" t="s">
        <v>32</v>
      </c>
      <c r="E15" s="47" t="s">
        <v>33</v>
      </c>
      <c r="F15" s="36" t="s">
        <v>103</v>
      </c>
      <c r="G15" s="34">
        <v>1</v>
      </c>
      <c r="H15" s="34">
        <v>1</v>
      </c>
      <c r="I15" s="35"/>
      <c r="J15" s="37">
        <v>0</v>
      </c>
      <c r="K15" s="37">
        <v>0</v>
      </c>
      <c r="L15" s="37">
        <v>0</v>
      </c>
      <c r="M15" s="37">
        <v>0</v>
      </c>
      <c r="N15" s="38"/>
      <c r="O15" s="38"/>
      <c r="P15" s="37"/>
      <c r="Q15" s="39"/>
      <c r="R15" s="39"/>
      <c r="S15" s="39"/>
      <c r="T15" s="39"/>
      <c r="U15" s="39"/>
      <c r="V15" s="39">
        <f t="shared" si="0"/>
        <v>0</v>
      </c>
      <c r="W15" s="40" t="e">
        <f>V15/V14</f>
        <v>#DIV/0!</v>
      </c>
    </row>
    <row r="16" spans="1:23" ht="63.75">
      <c r="A16" s="9" t="s">
        <v>14</v>
      </c>
      <c r="B16" s="6" t="s">
        <v>94</v>
      </c>
      <c r="C16" s="2" t="s">
        <v>64</v>
      </c>
      <c r="D16" s="2" t="s">
        <v>63</v>
      </c>
      <c r="E16" s="46" t="s">
        <v>62</v>
      </c>
      <c r="F16" s="36">
        <v>2291</v>
      </c>
      <c r="G16" s="34">
        <v>0.5</v>
      </c>
      <c r="H16" s="35">
        <f>F16*0.5</f>
        <v>1145.5</v>
      </c>
      <c r="I16" s="35" t="s">
        <v>110</v>
      </c>
      <c r="J16" s="37">
        <v>44</v>
      </c>
      <c r="K16" s="37">
        <v>145</v>
      </c>
      <c r="L16" s="37">
        <v>135</v>
      </c>
      <c r="M16" s="37">
        <v>61</v>
      </c>
      <c r="N16" s="38"/>
      <c r="O16" s="38"/>
      <c r="P16" s="37"/>
      <c r="Q16" s="39"/>
      <c r="R16" s="39"/>
      <c r="S16" s="39"/>
      <c r="T16" s="39"/>
      <c r="U16" s="39"/>
      <c r="V16" s="39">
        <f t="shared" si="0"/>
        <v>385</v>
      </c>
      <c r="W16" s="40">
        <f t="shared" si="1"/>
        <v>0.33609777389786122</v>
      </c>
    </row>
    <row r="17" spans="1:23" ht="58.5" customHeight="1">
      <c r="A17" s="9" t="s">
        <v>14</v>
      </c>
      <c r="B17" s="6" t="s">
        <v>95</v>
      </c>
      <c r="C17" s="2" t="s">
        <v>67</v>
      </c>
      <c r="D17" s="2" t="s">
        <v>66</v>
      </c>
      <c r="E17" s="46" t="s">
        <v>65</v>
      </c>
      <c r="F17" s="36" t="s">
        <v>103</v>
      </c>
      <c r="G17" s="34">
        <v>1</v>
      </c>
      <c r="H17" s="34">
        <v>1</v>
      </c>
      <c r="I17" s="35"/>
      <c r="J17" s="37">
        <v>0</v>
      </c>
      <c r="K17" s="37">
        <v>0</v>
      </c>
      <c r="L17" s="37">
        <v>0</v>
      </c>
      <c r="M17" s="37">
        <v>0</v>
      </c>
      <c r="N17" s="38"/>
      <c r="O17" s="38"/>
      <c r="P17" s="37"/>
      <c r="Q17" s="39"/>
      <c r="R17" s="39"/>
      <c r="S17" s="39"/>
      <c r="T17" s="39"/>
      <c r="U17" s="39"/>
      <c r="V17" s="39">
        <f t="shared" si="0"/>
        <v>0</v>
      </c>
      <c r="W17" s="40">
        <f>V17/V16</f>
        <v>0</v>
      </c>
    </row>
    <row r="18" spans="1:23" ht="76.5">
      <c r="A18" s="9" t="s">
        <v>14</v>
      </c>
      <c r="B18" s="6" t="s">
        <v>96</v>
      </c>
      <c r="C18" s="2" t="s">
        <v>36</v>
      </c>
      <c r="D18" s="2" t="s">
        <v>68</v>
      </c>
      <c r="E18" s="46" t="s">
        <v>35</v>
      </c>
      <c r="F18" s="36" t="s">
        <v>103</v>
      </c>
      <c r="G18" s="34">
        <v>1</v>
      </c>
      <c r="H18" s="34">
        <v>1</v>
      </c>
      <c r="I18" s="35"/>
      <c r="J18" s="37">
        <v>0</v>
      </c>
      <c r="K18" s="37">
        <v>0</v>
      </c>
      <c r="L18" s="37">
        <v>0</v>
      </c>
      <c r="M18" s="37">
        <v>0</v>
      </c>
      <c r="N18" s="38"/>
      <c r="O18" s="38"/>
      <c r="P18" s="37"/>
      <c r="Q18" s="39"/>
      <c r="R18" s="39"/>
      <c r="S18" s="39"/>
      <c r="T18" s="39"/>
      <c r="U18" s="39"/>
      <c r="V18" s="39">
        <f t="shared" si="0"/>
        <v>0</v>
      </c>
      <c r="W18" s="40" t="e">
        <f>V18/V17</f>
        <v>#DIV/0!</v>
      </c>
    </row>
    <row r="21" spans="1:23" ht="45.75" customHeight="1">
      <c r="A21" s="67">
        <v>46169</v>
      </c>
      <c r="B21" s="70" t="s">
        <v>187</v>
      </c>
      <c r="C21" s="70"/>
      <c r="D21" s="70"/>
      <c r="E21" s="70"/>
    </row>
  </sheetData>
  <mergeCells count="1">
    <mergeCell ref="B21:E21"/>
  </mergeCells>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C446-D82A-4903-AF06-BBF31E776305}">
  <sheetPr>
    <tabColor theme="5" tint="0.39997558519241921"/>
  </sheetPr>
  <dimension ref="A1:W21"/>
  <sheetViews>
    <sheetView topLeftCell="D1" zoomScaleNormal="100" workbookViewId="0">
      <pane ySplit="1" topLeftCell="A16" activePane="bottomLeft" state="frozen"/>
      <selection pane="bottomLeft" activeCell="J2" sqref="J2:M18"/>
    </sheetView>
  </sheetViews>
  <sheetFormatPr baseColWidth="10" defaultColWidth="9.140625" defaultRowHeight="12.75"/>
  <cols>
    <col min="1" max="1" width="11.5703125" style="12" customWidth="1"/>
    <col min="2" max="2" width="15.85546875" style="12" customWidth="1"/>
    <col min="3" max="3" width="37.5703125" style="12" customWidth="1"/>
    <col min="4" max="4" width="34.5703125" style="12" customWidth="1"/>
    <col min="5" max="5" width="33.42578125" style="12" customWidth="1"/>
    <col min="6" max="6" width="18" style="12" customWidth="1"/>
    <col min="7" max="8" width="14.140625" style="11" customWidth="1"/>
    <col min="9" max="9" width="14.85546875" style="12" customWidth="1"/>
    <col min="10" max="13" width="9.42578125" style="12" customWidth="1"/>
    <col min="14" max="14" width="9.42578125" style="12" hidden="1" customWidth="1"/>
    <col min="15" max="15" width="9.7109375" style="12" hidden="1" customWidth="1"/>
    <col min="16" max="16" width="9.140625" style="12" hidden="1" customWidth="1"/>
    <col min="17" max="17" width="12.42578125" style="12" hidden="1" customWidth="1"/>
    <col min="18" max="18" width="11.42578125" style="12" hidden="1" customWidth="1"/>
    <col min="19" max="19" width="9.140625" style="12" hidden="1" customWidth="1"/>
    <col min="20" max="20" width="10.85546875" style="12" hidden="1" customWidth="1"/>
    <col min="21" max="21" width="11.7109375" style="12" hidden="1" customWidth="1"/>
    <col min="22" max="22" width="12.7109375" style="12" customWidth="1"/>
    <col min="23" max="16384" width="9.140625" style="12"/>
  </cols>
  <sheetData>
    <row r="1" spans="1:23" s="18" customFormat="1" ht="24">
      <c r="A1" s="14" t="s">
        <v>23</v>
      </c>
      <c r="B1" s="14" t="s">
        <v>79</v>
      </c>
      <c r="C1" s="15" t="s">
        <v>24</v>
      </c>
      <c r="D1" s="15" t="s">
        <v>22</v>
      </c>
      <c r="E1" s="15" t="s">
        <v>25</v>
      </c>
      <c r="F1" s="48" t="s">
        <v>38</v>
      </c>
      <c r="G1" s="16" t="s">
        <v>97</v>
      </c>
      <c r="H1" s="16" t="s">
        <v>99</v>
      </c>
      <c r="I1" s="16" t="s">
        <v>152</v>
      </c>
      <c r="J1" s="17" t="s">
        <v>37</v>
      </c>
      <c r="K1" s="17" t="s">
        <v>1</v>
      </c>
      <c r="L1" s="17" t="s">
        <v>2</v>
      </c>
      <c r="M1" s="17" t="s">
        <v>3</v>
      </c>
      <c r="N1" s="17" t="s">
        <v>4</v>
      </c>
      <c r="O1" s="17" t="s">
        <v>5</v>
      </c>
      <c r="P1" s="17" t="s">
        <v>6</v>
      </c>
      <c r="Q1" s="17" t="s">
        <v>7</v>
      </c>
      <c r="R1" s="17" t="s">
        <v>8</v>
      </c>
      <c r="S1" s="17" t="s">
        <v>9</v>
      </c>
      <c r="T1" s="17" t="s">
        <v>10</v>
      </c>
      <c r="U1" s="17" t="s">
        <v>11</v>
      </c>
      <c r="V1" s="16" t="s">
        <v>101</v>
      </c>
      <c r="W1" s="16" t="s">
        <v>102</v>
      </c>
    </row>
    <row r="2" spans="1:23" ht="38.25">
      <c r="A2" s="22" t="s">
        <v>0</v>
      </c>
      <c r="B2" s="30" t="s">
        <v>80</v>
      </c>
      <c r="C2" s="31" t="s">
        <v>69</v>
      </c>
      <c r="D2" s="23" t="s">
        <v>71</v>
      </c>
      <c r="E2" s="32" t="s">
        <v>27</v>
      </c>
      <c r="F2" s="36">
        <v>41</v>
      </c>
      <c r="G2" s="34">
        <v>0.33</v>
      </c>
      <c r="H2" s="35">
        <f>F2*0.33</f>
        <v>13.530000000000001</v>
      </c>
      <c r="I2" s="35" t="s">
        <v>112</v>
      </c>
      <c r="J2" s="37">
        <v>2</v>
      </c>
      <c r="K2" s="37">
        <v>6</v>
      </c>
      <c r="L2" s="37">
        <v>8</v>
      </c>
      <c r="M2" s="37">
        <v>6</v>
      </c>
      <c r="N2" s="38"/>
      <c r="O2" s="38"/>
      <c r="P2" s="39"/>
      <c r="Q2" s="39"/>
      <c r="R2" s="39"/>
      <c r="S2" s="39"/>
      <c r="T2" s="39"/>
      <c r="U2" s="39"/>
      <c r="V2" s="39">
        <f>SUM(J2:U2)</f>
        <v>22</v>
      </c>
      <c r="W2" s="40">
        <f>V2/H2</f>
        <v>1.6260162601626016</v>
      </c>
    </row>
    <row r="3" spans="1:23" ht="51">
      <c r="A3" s="22" t="s">
        <v>0</v>
      </c>
      <c r="B3" s="30" t="s">
        <v>81</v>
      </c>
      <c r="C3" s="31" t="s">
        <v>50</v>
      </c>
      <c r="D3" s="23" t="s">
        <v>49</v>
      </c>
      <c r="E3" s="33" t="s">
        <v>48</v>
      </c>
      <c r="F3" s="36" t="s">
        <v>103</v>
      </c>
      <c r="G3" s="34">
        <v>1</v>
      </c>
      <c r="H3" s="34">
        <v>1</v>
      </c>
      <c r="I3" s="35"/>
      <c r="J3" s="37">
        <v>0</v>
      </c>
      <c r="K3" s="37">
        <v>0</v>
      </c>
      <c r="L3" s="37">
        <v>0</v>
      </c>
      <c r="M3" s="37">
        <v>0</v>
      </c>
      <c r="N3" s="38"/>
      <c r="O3" s="38"/>
      <c r="P3" s="39"/>
      <c r="Q3" s="39"/>
      <c r="R3" s="39"/>
      <c r="S3" s="39"/>
      <c r="T3" s="39"/>
      <c r="U3" s="39"/>
      <c r="V3" s="39">
        <f>SUM(J3:U3)</f>
        <v>0</v>
      </c>
      <c r="W3" s="41">
        <f>V3/V2</f>
        <v>0</v>
      </c>
    </row>
    <row r="4" spans="1:23" ht="51">
      <c r="A4" s="22" t="s">
        <v>0</v>
      </c>
      <c r="B4" s="30" t="s">
        <v>82</v>
      </c>
      <c r="C4" s="31" t="s">
        <v>70</v>
      </c>
      <c r="D4" s="32" t="s">
        <v>72</v>
      </c>
      <c r="E4" s="42" t="s">
        <v>26</v>
      </c>
      <c r="F4" s="36">
        <v>294</v>
      </c>
      <c r="G4" s="34">
        <v>0.2</v>
      </c>
      <c r="H4" s="35">
        <f>F4*0.2</f>
        <v>58.800000000000004</v>
      </c>
      <c r="I4" s="34">
        <v>0</v>
      </c>
      <c r="J4" s="37">
        <v>0</v>
      </c>
      <c r="K4" s="37">
        <v>2</v>
      </c>
      <c r="L4" s="37">
        <v>3</v>
      </c>
      <c r="M4" s="37">
        <v>0</v>
      </c>
      <c r="N4" s="38"/>
      <c r="O4" s="38"/>
      <c r="P4" s="37"/>
      <c r="Q4" s="39"/>
      <c r="R4" s="39"/>
      <c r="S4" s="39"/>
      <c r="T4" s="39"/>
      <c r="U4" s="39"/>
      <c r="V4" s="39">
        <f t="shared" ref="V4:V18" si="0">SUM(J4:U4)</f>
        <v>5</v>
      </c>
      <c r="W4" s="40">
        <f t="shared" ref="W4:W16" si="1">V4/H4</f>
        <v>8.5034013605442174E-2</v>
      </c>
    </row>
    <row r="5" spans="1:23" ht="38.25">
      <c r="A5" s="22" t="s">
        <v>0</v>
      </c>
      <c r="B5" s="30" t="s">
        <v>83</v>
      </c>
      <c r="C5" s="31" t="s">
        <v>51</v>
      </c>
      <c r="D5" s="31" t="s">
        <v>46</v>
      </c>
      <c r="E5" s="43" t="s">
        <v>45</v>
      </c>
      <c r="F5" s="36" t="s">
        <v>103</v>
      </c>
      <c r="G5" s="34">
        <v>1</v>
      </c>
      <c r="H5" s="34">
        <v>1</v>
      </c>
      <c r="I5" s="35"/>
      <c r="J5" s="37">
        <v>0</v>
      </c>
      <c r="K5" s="37">
        <v>0</v>
      </c>
      <c r="L5" s="37">
        <v>0</v>
      </c>
      <c r="M5" s="37">
        <v>0</v>
      </c>
      <c r="N5" s="38"/>
      <c r="O5" s="38"/>
      <c r="P5" s="37"/>
      <c r="Q5" s="39"/>
      <c r="R5" s="39"/>
      <c r="S5" s="39"/>
      <c r="T5" s="39"/>
      <c r="U5" s="39"/>
      <c r="V5" s="39">
        <f t="shared" si="0"/>
        <v>0</v>
      </c>
      <c r="W5" s="40">
        <f>V5/V4</f>
        <v>0</v>
      </c>
    </row>
    <row r="6" spans="1:23" ht="51">
      <c r="A6" s="22" t="s">
        <v>0</v>
      </c>
      <c r="B6" s="22" t="s">
        <v>84</v>
      </c>
      <c r="C6" s="23" t="s">
        <v>18</v>
      </c>
      <c r="D6" s="23" t="s">
        <v>52</v>
      </c>
      <c r="E6" s="32" t="s">
        <v>47</v>
      </c>
      <c r="F6" s="36" t="s">
        <v>103</v>
      </c>
      <c r="G6" s="34">
        <v>1</v>
      </c>
      <c r="H6" s="34">
        <v>1</v>
      </c>
      <c r="I6" s="35"/>
      <c r="J6" s="37">
        <v>0</v>
      </c>
      <c r="K6" s="37">
        <v>0</v>
      </c>
      <c r="L6" s="37">
        <v>0</v>
      </c>
      <c r="M6" s="37">
        <v>0</v>
      </c>
      <c r="N6" s="38"/>
      <c r="O6" s="38"/>
      <c r="P6" s="37"/>
      <c r="Q6" s="39"/>
      <c r="R6" s="39"/>
      <c r="S6" s="39"/>
      <c r="T6" s="39"/>
      <c r="U6" s="39"/>
      <c r="V6" s="39">
        <f t="shared" si="0"/>
        <v>0</v>
      </c>
      <c r="W6" s="66" t="e">
        <f>V6/V3</f>
        <v>#DIV/0!</v>
      </c>
    </row>
    <row r="7" spans="1:23" ht="56.25" customHeight="1">
      <c r="A7" s="22" t="s">
        <v>12</v>
      </c>
      <c r="B7" s="24" t="s">
        <v>85</v>
      </c>
      <c r="C7" s="23" t="s">
        <v>53</v>
      </c>
      <c r="D7" s="23" t="s">
        <v>73</v>
      </c>
      <c r="E7" s="32" t="s">
        <v>28</v>
      </c>
      <c r="F7" s="36">
        <v>206</v>
      </c>
      <c r="G7" s="34">
        <v>1</v>
      </c>
      <c r="H7" s="35">
        <f>F7*1</f>
        <v>206</v>
      </c>
      <c r="I7" s="35"/>
      <c r="J7" s="37">
        <v>1</v>
      </c>
      <c r="K7" s="37">
        <v>5</v>
      </c>
      <c r="L7" s="37">
        <v>4</v>
      </c>
      <c r="M7" s="37">
        <v>6</v>
      </c>
      <c r="N7" s="38"/>
      <c r="O7" s="38"/>
      <c r="P7" s="37"/>
      <c r="Q7" s="39"/>
      <c r="R7" s="39"/>
      <c r="S7" s="39"/>
      <c r="T7" s="39"/>
      <c r="U7" s="39"/>
      <c r="V7" s="39">
        <f t="shared" si="0"/>
        <v>16</v>
      </c>
      <c r="W7" s="40">
        <f t="shared" si="1"/>
        <v>7.7669902912621352E-2</v>
      </c>
    </row>
    <row r="8" spans="1:23" ht="54" customHeight="1">
      <c r="A8" s="22" t="s">
        <v>12</v>
      </c>
      <c r="B8" s="25" t="s">
        <v>86</v>
      </c>
      <c r="C8" s="26" t="s">
        <v>54</v>
      </c>
      <c r="D8" s="26" t="s">
        <v>55</v>
      </c>
      <c r="E8" s="33" t="s">
        <v>29</v>
      </c>
      <c r="F8" s="36">
        <v>96</v>
      </c>
      <c r="G8" s="34">
        <v>0.5</v>
      </c>
      <c r="H8" s="35">
        <f>F8*0.5</f>
        <v>48</v>
      </c>
      <c r="I8" s="35" t="s">
        <v>129</v>
      </c>
      <c r="J8" s="37">
        <v>7</v>
      </c>
      <c r="K8" s="37">
        <v>6</v>
      </c>
      <c r="L8" s="37">
        <v>5</v>
      </c>
      <c r="M8" s="37">
        <v>0</v>
      </c>
      <c r="N8" s="38"/>
      <c r="O8" s="38"/>
      <c r="P8" s="37"/>
      <c r="Q8" s="39"/>
      <c r="R8" s="39"/>
      <c r="S8" s="39"/>
      <c r="T8" s="39"/>
      <c r="U8" s="39"/>
      <c r="V8" s="39">
        <f t="shared" si="0"/>
        <v>18</v>
      </c>
      <c r="W8" s="40">
        <f t="shared" si="1"/>
        <v>0.375</v>
      </c>
    </row>
    <row r="9" spans="1:23" ht="54" customHeight="1">
      <c r="A9" s="22" t="s">
        <v>12</v>
      </c>
      <c r="B9" s="25" t="s">
        <v>87</v>
      </c>
      <c r="C9" s="26" t="s">
        <v>57</v>
      </c>
      <c r="D9" s="26" t="s">
        <v>74</v>
      </c>
      <c r="E9" s="33" t="s">
        <v>56</v>
      </c>
      <c r="F9" s="36" t="s">
        <v>103</v>
      </c>
      <c r="G9" s="34">
        <v>1</v>
      </c>
      <c r="H9" s="34">
        <v>1</v>
      </c>
      <c r="I9" s="35"/>
      <c r="J9" s="37">
        <v>0</v>
      </c>
      <c r="K9" s="37">
        <v>1</v>
      </c>
      <c r="L9" s="37">
        <v>0</v>
      </c>
      <c r="M9" s="37">
        <v>0</v>
      </c>
      <c r="N9" s="38"/>
      <c r="O9" s="38"/>
      <c r="P9" s="37"/>
      <c r="Q9" s="39"/>
      <c r="R9" s="39"/>
      <c r="S9" s="39"/>
      <c r="T9" s="39"/>
      <c r="U9" s="39"/>
      <c r="V9" s="39">
        <f t="shared" si="0"/>
        <v>1</v>
      </c>
      <c r="W9" s="40">
        <f>V9/V8</f>
        <v>5.5555555555555552E-2</v>
      </c>
    </row>
    <row r="10" spans="1:23" ht="65.25" customHeight="1">
      <c r="A10" s="27" t="s">
        <v>12</v>
      </c>
      <c r="B10" s="28" t="s">
        <v>88</v>
      </c>
      <c r="C10" s="29" t="s">
        <v>58</v>
      </c>
      <c r="D10" s="29" t="s">
        <v>75</v>
      </c>
      <c r="E10" s="42" t="s">
        <v>30</v>
      </c>
      <c r="F10" s="36" t="s">
        <v>103</v>
      </c>
      <c r="G10" s="34">
        <v>1</v>
      </c>
      <c r="H10" s="34">
        <v>1</v>
      </c>
      <c r="I10" s="35"/>
      <c r="J10" s="37">
        <v>0</v>
      </c>
      <c r="K10" s="37">
        <v>0</v>
      </c>
      <c r="L10" s="37">
        <v>1</v>
      </c>
      <c r="M10" s="37">
        <v>0</v>
      </c>
      <c r="N10" s="38"/>
      <c r="O10" s="38"/>
      <c r="P10" s="37"/>
      <c r="Q10" s="39"/>
      <c r="R10" s="39"/>
      <c r="S10" s="39"/>
      <c r="T10" s="39"/>
      <c r="U10" s="39"/>
      <c r="V10" s="39">
        <f t="shared" si="0"/>
        <v>1</v>
      </c>
      <c r="W10" s="40">
        <f>V10/V8</f>
        <v>5.5555555555555552E-2</v>
      </c>
    </row>
    <row r="11" spans="1:23" ht="55.5" customHeight="1">
      <c r="A11" s="22" t="s">
        <v>13</v>
      </c>
      <c r="B11" s="22" t="s">
        <v>89</v>
      </c>
      <c r="C11" s="23" t="s">
        <v>21</v>
      </c>
      <c r="D11" s="23" t="s">
        <v>76</v>
      </c>
      <c r="E11" s="32" t="s">
        <v>31</v>
      </c>
      <c r="F11" s="36">
        <v>87</v>
      </c>
      <c r="G11" s="34">
        <v>0.2</v>
      </c>
      <c r="H11" s="35">
        <f>F11*0.2</f>
        <v>17.400000000000002</v>
      </c>
      <c r="I11" s="35" t="s">
        <v>132</v>
      </c>
      <c r="J11" s="37">
        <v>0</v>
      </c>
      <c r="K11" s="37">
        <v>3</v>
      </c>
      <c r="L11" s="37">
        <v>4</v>
      </c>
      <c r="M11" s="37">
        <v>0</v>
      </c>
      <c r="N11" s="38"/>
      <c r="O11" s="38"/>
      <c r="P11" s="37"/>
      <c r="Q11" s="39"/>
      <c r="R11" s="39"/>
      <c r="S11" s="39"/>
      <c r="T11" s="39"/>
      <c r="U11" s="39"/>
      <c r="V11" s="39">
        <f t="shared" si="0"/>
        <v>7</v>
      </c>
      <c r="W11" s="40">
        <f t="shared" si="1"/>
        <v>0.4022988505747126</v>
      </c>
    </row>
    <row r="12" spans="1:23" ht="54.75" customHeight="1">
      <c r="A12" s="4" t="s">
        <v>13</v>
      </c>
      <c r="B12" s="5" t="s">
        <v>90</v>
      </c>
      <c r="C12" s="1" t="s">
        <v>19</v>
      </c>
      <c r="D12" s="1" t="s">
        <v>77</v>
      </c>
      <c r="E12" s="44" t="s">
        <v>31</v>
      </c>
      <c r="F12" s="36">
        <v>87</v>
      </c>
      <c r="G12" s="34">
        <v>0.2</v>
      </c>
      <c r="H12" s="35">
        <f>F12*0.2</f>
        <v>17.400000000000002</v>
      </c>
      <c r="I12" s="35" t="s">
        <v>143</v>
      </c>
      <c r="J12" s="37">
        <v>8</v>
      </c>
      <c r="K12" s="37">
        <v>2</v>
      </c>
      <c r="L12" s="37">
        <v>3</v>
      </c>
      <c r="M12" s="37">
        <v>2</v>
      </c>
      <c r="N12" s="38"/>
      <c r="O12" s="38"/>
      <c r="P12" s="37"/>
      <c r="Q12" s="39"/>
      <c r="R12" s="39"/>
      <c r="S12" s="39"/>
      <c r="T12" s="39"/>
      <c r="U12" s="39"/>
      <c r="V12" s="39">
        <f t="shared" si="0"/>
        <v>15</v>
      </c>
      <c r="W12" s="40">
        <f t="shared" si="1"/>
        <v>0.86206896551724133</v>
      </c>
    </row>
    <row r="13" spans="1:23" ht="63" customHeight="1">
      <c r="A13" s="8" t="s">
        <v>13</v>
      </c>
      <c r="B13" s="7" t="s">
        <v>91</v>
      </c>
      <c r="C13" s="3" t="s">
        <v>20</v>
      </c>
      <c r="D13" s="3" t="s">
        <v>59</v>
      </c>
      <c r="E13" s="45" t="s">
        <v>31</v>
      </c>
      <c r="F13" s="36">
        <v>87</v>
      </c>
      <c r="G13" s="34">
        <v>0.2</v>
      </c>
      <c r="H13" s="35">
        <f>F13*0.2</f>
        <v>17.400000000000002</v>
      </c>
      <c r="I13" s="35" t="s">
        <v>146</v>
      </c>
      <c r="J13" s="37">
        <v>0</v>
      </c>
      <c r="K13" s="37">
        <v>1</v>
      </c>
      <c r="L13" s="37">
        <v>1</v>
      </c>
      <c r="M13" s="37">
        <v>0</v>
      </c>
      <c r="N13" s="38"/>
      <c r="O13" s="38"/>
      <c r="P13" s="37"/>
      <c r="Q13" s="39"/>
      <c r="R13" s="39"/>
      <c r="S13" s="39"/>
      <c r="T13" s="39"/>
      <c r="U13" s="39"/>
      <c r="V13" s="39">
        <f t="shared" si="0"/>
        <v>2</v>
      </c>
      <c r="W13" s="40">
        <f t="shared" si="1"/>
        <v>0.11494252873563217</v>
      </c>
    </row>
    <row r="14" spans="1:23" ht="63" customHeight="1">
      <c r="A14" s="9" t="s">
        <v>13</v>
      </c>
      <c r="B14" s="6" t="s">
        <v>104</v>
      </c>
      <c r="C14" s="2" t="s">
        <v>92</v>
      </c>
      <c r="D14" s="2" t="s">
        <v>61</v>
      </c>
      <c r="E14" s="46" t="s">
        <v>60</v>
      </c>
      <c r="F14" s="36" t="s">
        <v>103</v>
      </c>
      <c r="G14" s="34">
        <v>1</v>
      </c>
      <c r="H14" s="34">
        <v>1</v>
      </c>
      <c r="I14" s="35"/>
      <c r="J14" s="37">
        <v>0</v>
      </c>
      <c r="K14" s="37">
        <v>0</v>
      </c>
      <c r="L14" s="37">
        <v>0</v>
      </c>
      <c r="M14" s="37">
        <v>0</v>
      </c>
      <c r="N14" s="38"/>
      <c r="O14" s="38"/>
      <c r="P14" s="37"/>
      <c r="Q14" s="39"/>
      <c r="R14" s="39"/>
      <c r="S14" s="39"/>
      <c r="T14" s="39"/>
      <c r="U14" s="39"/>
      <c r="V14" s="39">
        <f t="shared" si="0"/>
        <v>0</v>
      </c>
      <c r="W14" s="40">
        <f>V14/V13</f>
        <v>0</v>
      </c>
    </row>
    <row r="15" spans="1:23" ht="70.5" customHeight="1">
      <c r="A15" s="19" t="s">
        <v>13</v>
      </c>
      <c r="B15" s="20" t="s">
        <v>93</v>
      </c>
      <c r="C15" s="21" t="s">
        <v>34</v>
      </c>
      <c r="D15" s="21" t="s">
        <v>32</v>
      </c>
      <c r="E15" s="47" t="s">
        <v>33</v>
      </c>
      <c r="F15" s="36" t="s">
        <v>103</v>
      </c>
      <c r="G15" s="34">
        <v>1</v>
      </c>
      <c r="H15" s="34">
        <v>1</v>
      </c>
      <c r="I15" s="35"/>
      <c r="J15" s="37">
        <v>0</v>
      </c>
      <c r="K15" s="37">
        <v>0</v>
      </c>
      <c r="L15" s="37">
        <v>0</v>
      </c>
      <c r="M15" s="37">
        <v>0</v>
      </c>
      <c r="N15" s="38"/>
      <c r="O15" s="38"/>
      <c r="P15" s="37"/>
      <c r="Q15" s="39"/>
      <c r="R15" s="39"/>
      <c r="S15" s="39"/>
      <c r="T15" s="39"/>
      <c r="U15" s="39"/>
      <c r="V15" s="39">
        <f t="shared" si="0"/>
        <v>0</v>
      </c>
      <c r="W15" s="40" t="e">
        <f>V15/V14</f>
        <v>#DIV/0!</v>
      </c>
    </row>
    <row r="16" spans="1:23" ht="63.75">
      <c r="A16" s="9" t="s">
        <v>14</v>
      </c>
      <c r="B16" s="6" t="s">
        <v>94</v>
      </c>
      <c r="C16" s="2" t="s">
        <v>64</v>
      </c>
      <c r="D16" s="2" t="s">
        <v>63</v>
      </c>
      <c r="E16" s="46" t="s">
        <v>62</v>
      </c>
      <c r="F16" s="36">
        <v>197</v>
      </c>
      <c r="G16" s="34">
        <v>0.5</v>
      </c>
      <c r="H16" s="35">
        <f>F16*0.5</f>
        <v>98.5</v>
      </c>
      <c r="I16" s="34">
        <v>0.5</v>
      </c>
      <c r="J16" s="37">
        <v>4</v>
      </c>
      <c r="K16" s="37">
        <v>3</v>
      </c>
      <c r="L16" s="37">
        <v>3</v>
      </c>
      <c r="M16" s="37">
        <v>2</v>
      </c>
      <c r="N16" s="38"/>
      <c r="O16" s="38"/>
      <c r="P16" s="37"/>
      <c r="Q16" s="39"/>
      <c r="R16" s="39"/>
      <c r="S16" s="39"/>
      <c r="T16" s="39"/>
      <c r="U16" s="39"/>
      <c r="V16" s="39">
        <f t="shared" si="0"/>
        <v>12</v>
      </c>
      <c r="W16" s="40">
        <f t="shared" si="1"/>
        <v>0.12182741116751269</v>
      </c>
    </row>
    <row r="17" spans="1:23" ht="58.5" customHeight="1">
      <c r="A17" s="9" t="s">
        <v>14</v>
      </c>
      <c r="B17" s="6" t="s">
        <v>95</v>
      </c>
      <c r="C17" s="2" t="s">
        <v>67</v>
      </c>
      <c r="D17" s="2" t="s">
        <v>66</v>
      </c>
      <c r="E17" s="46" t="s">
        <v>65</v>
      </c>
      <c r="F17" s="36" t="s">
        <v>103</v>
      </c>
      <c r="G17" s="34">
        <v>1</v>
      </c>
      <c r="H17" s="34">
        <v>1</v>
      </c>
      <c r="I17" s="35"/>
      <c r="J17" s="37">
        <v>0</v>
      </c>
      <c r="K17" s="37">
        <v>0</v>
      </c>
      <c r="L17" s="37">
        <v>0</v>
      </c>
      <c r="M17" s="37">
        <v>0</v>
      </c>
      <c r="N17" s="38"/>
      <c r="O17" s="38"/>
      <c r="P17" s="37"/>
      <c r="Q17" s="39"/>
      <c r="R17" s="39"/>
      <c r="S17" s="39"/>
      <c r="T17" s="39"/>
      <c r="U17" s="39"/>
      <c r="V17" s="39">
        <f t="shared" si="0"/>
        <v>0</v>
      </c>
      <c r="W17" s="40">
        <f>V17/V16</f>
        <v>0</v>
      </c>
    </row>
    <row r="18" spans="1:23" ht="76.5">
      <c r="A18" s="9" t="s">
        <v>14</v>
      </c>
      <c r="B18" s="6" t="s">
        <v>96</v>
      </c>
      <c r="C18" s="2" t="s">
        <v>36</v>
      </c>
      <c r="D18" s="2" t="s">
        <v>68</v>
      </c>
      <c r="E18" s="46" t="s">
        <v>35</v>
      </c>
      <c r="F18" s="36" t="s">
        <v>103</v>
      </c>
      <c r="G18" s="34">
        <v>1</v>
      </c>
      <c r="H18" s="34">
        <v>1</v>
      </c>
      <c r="I18" s="35"/>
      <c r="J18" s="37">
        <v>0</v>
      </c>
      <c r="K18" s="37">
        <v>0</v>
      </c>
      <c r="L18" s="37">
        <v>0</v>
      </c>
      <c r="M18" s="37">
        <v>0</v>
      </c>
      <c r="N18" s="38"/>
      <c r="O18" s="38"/>
      <c r="P18" s="37"/>
      <c r="Q18" s="39"/>
      <c r="R18" s="39"/>
      <c r="S18" s="39"/>
      <c r="T18" s="39"/>
      <c r="U18" s="39"/>
      <c r="V18" s="39">
        <f t="shared" si="0"/>
        <v>0</v>
      </c>
      <c r="W18" s="40" t="e">
        <f>V18/V17</f>
        <v>#DIV/0!</v>
      </c>
    </row>
    <row r="21" spans="1:23" ht="38.25" customHeight="1">
      <c r="A21" s="67">
        <v>46170</v>
      </c>
      <c r="B21" s="70" t="s">
        <v>190</v>
      </c>
      <c r="C21" s="70"/>
      <c r="D21" s="70"/>
      <c r="E21" s="70"/>
    </row>
  </sheetData>
  <mergeCells count="1">
    <mergeCell ref="B21:E21"/>
  </mergeCells>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EB547-C5AD-410F-BF62-5BD4028D488D}">
  <sheetPr>
    <tabColor rgb="FFC00000"/>
  </sheetPr>
  <dimension ref="A1:P51"/>
  <sheetViews>
    <sheetView workbookViewId="0">
      <pane ySplit="1" topLeftCell="A2" activePane="bottomLeft" state="frozen"/>
      <selection activeCell="E1" sqref="E1"/>
      <selection pane="bottomLeft" activeCell="F5" sqref="F5"/>
    </sheetView>
  </sheetViews>
  <sheetFormatPr baseColWidth="10" defaultColWidth="9.140625" defaultRowHeight="12.75"/>
  <cols>
    <col min="1" max="1" width="11.5703125" style="12" customWidth="1"/>
    <col min="2" max="2" width="15.85546875" style="12" customWidth="1"/>
    <col min="3" max="3" width="35.5703125" style="12" customWidth="1"/>
    <col min="4" max="4" width="34.5703125" style="12" hidden="1" customWidth="1"/>
    <col min="5" max="5" width="33.42578125" style="12" hidden="1" customWidth="1"/>
    <col min="6" max="6" width="14.28515625" style="12" customWidth="1"/>
    <col min="7" max="7" width="9.7109375" style="12" customWidth="1"/>
    <col min="8" max="8" width="9.42578125" style="11" customWidth="1"/>
    <col min="9" max="14" width="9.42578125" style="12" customWidth="1"/>
    <col min="15" max="15" width="14.140625" style="12" customWidth="1"/>
    <col min="16" max="16" width="19.7109375" style="12" customWidth="1"/>
    <col min="17" max="16384" width="9.140625" style="12"/>
  </cols>
  <sheetData>
    <row r="1" spans="1:16" s="18" customFormat="1" ht="60">
      <c r="A1" s="14" t="s">
        <v>23</v>
      </c>
      <c r="B1" s="14" t="s">
        <v>79</v>
      </c>
      <c r="C1" s="15" t="s">
        <v>24</v>
      </c>
      <c r="D1" s="15" t="s">
        <v>22</v>
      </c>
      <c r="E1" s="15" t="s">
        <v>25</v>
      </c>
      <c r="F1" s="10" t="s">
        <v>105</v>
      </c>
      <c r="G1" s="16" t="s">
        <v>152</v>
      </c>
      <c r="H1" s="16" t="s">
        <v>39</v>
      </c>
      <c r="I1" s="17" t="s">
        <v>40</v>
      </c>
      <c r="J1" s="17" t="s">
        <v>41</v>
      </c>
      <c r="K1" s="17" t="s">
        <v>42</v>
      </c>
      <c r="L1" s="17" t="s">
        <v>43</v>
      </c>
      <c r="M1" s="17" t="s">
        <v>44</v>
      </c>
      <c r="N1" s="17" t="s">
        <v>15</v>
      </c>
      <c r="O1" s="16" t="s">
        <v>17</v>
      </c>
      <c r="P1" s="17" t="s">
        <v>16</v>
      </c>
    </row>
    <row r="2" spans="1:16" ht="38.25">
      <c r="A2" s="22" t="s">
        <v>0</v>
      </c>
      <c r="B2" s="30" t="s">
        <v>80</v>
      </c>
      <c r="C2" s="31" t="s">
        <v>69</v>
      </c>
      <c r="D2" s="23" t="s">
        <v>71</v>
      </c>
      <c r="E2" s="32" t="s">
        <v>27</v>
      </c>
      <c r="F2" s="52">
        <f>SUM('Nueva EPS'!F2+Sanitas!F4+Coosalud!F2+Famisanar!F2+'Salud Total'!F2+Proteger!F2)</f>
        <v>14212</v>
      </c>
      <c r="G2" s="55" t="s">
        <v>111</v>
      </c>
      <c r="H2" s="56">
        <f>'Nueva EPS'!W2</f>
        <v>2.1045870173052217</v>
      </c>
      <c r="I2" s="59">
        <f>Sanitas!W2</f>
        <v>1.0771780303030303</v>
      </c>
      <c r="J2" s="59">
        <f>Coosalud!W2</f>
        <v>0.23148148148148148</v>
      </c>
      <c r="K2" s="59">
        <f>Famisanar!W2</f>
        <v>0.48940734781442746</v>
      </c>
      <c r="L2" s="59">
        <f>'Salud Total'!W2</f>
        <v>1.9022340190223401</v>
      </c>
      <c r="M2" s="59">
        <f>Proteger!W2</f>
        <v>1.6260162601626016</v>
      </c>
      <c r="N2" s="38">
        <f>SUM(H2:M2)</f>
        <v>7.4309041560891025</v>
      </c>
      <c r="O2" s="65">
        <f>AVERAGE(H2:M2)</f>
        <v>1.2384840260148504</v>
      </c>
      <c r="P2" s="13"/>
    </row>
    <row r="3" spans="1:16" ht="51">
      <c r="A3" s="22" t="s">
        <v>0</v>
      </c>
      <c r="B3" s="30" t="s">
        <v>81</v>
      </c>
      <c r="C3" s="31" t="s">
        <v>50</v>
      </c>
      <c r="D3" s="23" t="s">
        <v>49</v>
      </c>
      <c r="E3" s="33" t="s">
        <v>48</v>
      </c>
      <c r="F3" s="36" t="s">
        <v>103</v>
      </c>
      <c r="G3" s="36"/>
      <c r="H3" s="56">
        <f>'Nueva EPS'!W3</f>
        <v>2.244165170556553E-3</v>
      </c>
      <c r="I3" s="59">
        <f>Sanitas!W3</f>
        <v>6.5934065934065934E-3</v>
      </c>
      <c r="J3" s="59">
        <f>Coosalud!W3</f>
        <v>0.12121212121212122</v>
      </c>
      <c r="K3" s="59">
        <f>Famisanar!W3</f>
        <v>6.8493150684931503E-2</v>
      </c>
      <c r="L3" s="59">
        <f>'Salud Total'!W3</f>
        <v>0</v>
      </c>
      <c r="M3" s="59">
        <f>Proteger!W3</f>
        <v>0</v>
      </c>
      <c r="N3" s="38"/>
      <c r="O3" s="65">
        <f t="shared" ref="O3:O13" si="0">AVERAGE(H3:M3)</f>
        <v>3.3090473943502646E-2</v>
      </c>
      <c r="P3" s="13"/>
    </row>
    <row r="4" spans="1:16" ht="51">
      <c r="A4" s="22" t="s">
        <v>0</v>
      </c>
      <c r="B4" s="30" t="s">
        <v>82</v>
      </c>
      <c r="C4" s="31" t="s">
        <v>70</v>
      </c>
      <c r="D4" s="32" t="s">
        <v>72</v>
      </c>
      <c r="E4" s="29" t="s">
        <v>26</v>
      </c>
      <c r="F4" s="53">
        <f>SUM('Nueva EPS'!F4+Sanitas!F4+Coosalud!F4+Famisanar!F4+'Salud Total'!F4+Proteger!F4)</f>
        <v>36807</v>
      </c>
      <c r="G4" s="55" t="s">
        <v>118</v>
      </c>
      <c r="H4" s="56">
        <f>'Nueva EPS'!W4</f>
        <v>2.872034889905329E-2</v>
      </c>
      <c r="I4" s="59">
        <f>Sanitas!W4</f>
        <v>3.0596634370219276E-3</v>
      </c>
      <c r="J4" s="59">
        <f>Coosalud!W4</f>
        <v>0.10200153964588145</v>
      </c>
      <c r="K4" s="59">
        <f>Famisanar!W4</f>
        <v>0.29641693811074921</v>
      </c>
      <c r="L4" s="59">
        <f>'Salud Total'!W4</f>
        <v>0.19436997319034852</v>
      </c>
      <c r="M4" s="59">
        <f>Proteger!W4</f>
        <v>8.5034013605442174E-2</v>
      </c>
      <c r="N4" s="38">
        <f t="shared" ref="N4:N18" si="1">SUM(H4:M4)</f>
        <v>0.70960247688849654</v>
      </c>
      <c r="O4" s="65">
        <f t="shared" si="0"/>
        <v>0.11826707948141608</v>
      </c>
      <c r="P4" s="13"/>
    </row>
    <row r="5" spans="1:16" ht="38.25">
      <c r="A5" s="22" t="s">
        <v>0</v>
      </c>
      <c r="B5" s="30" t="s">
        <v>83</v>
      </c>
      <c r="C5" s="31" t="s">
        <v>51</v>
      </c>
      <c r="D5" s="31" t="s">
        <v>46</v>
      </c>
      <c r="E5" s="43" t="s">
        <v>45</v>
      </c>
      <c r="F5" s="36" t="s">
        <v>103</v>
      </c>
      <c r="G5" s="36"/>
      <c r="H5" s="56">
        <f>'Nueva EPS'!W5</f>
        <v>0.15740740740740741</v>
      </c>
      <c r="I5" s="59">
        <f>Sanitas!W5</f>
        <v>0</v>
      </c>
      <c r="J5" s="59">
        <f>Coosalud!W5</f>
        <v>3.7735849056603772E-2</v>
      </c>
      <c r="K5" s="59">
        <f>Famisanar!W5</f>
        <v>4.9450549450549448E-2</v>
      </c>
      <c r="L5" s="59">
        <f>'Salud Total'!W5</f>
        <v>2.2988505747126436E-2</v>
      </c>
      <c r="M5" s="59">
        <f>Proteger!W5</f>
        <v>0</v>
      </c>
      <c r="N5" s="38">
        <f t="shared" si="1"/>
        <v>0.26758231166168706</v>
      </c>
      <c r="O5" s="65">
        <f t="shared" si="0"/>
        <v>4.4597051943614512E-2</v>
      </c>
      <c r="P5" s="13"/>
    </row>
    <row r="6" spans="1:16" ht="51">
      <c r="A6" s="22" t="s">
        <v>0</v>
      </c>
      <c r="B6" s="22" t="s">
        <v>84</v>
      </c>
      <c r="C6" s="23" t="s">
        <v>18</v>
      </c>
      <c r="D6" s="23" t="s">
        <v>52</v>
      </c>
      <c r="E6" s="32" t="s">
        <v>47</v>
      </c>
      <c r="F6" s="36" t="s">
        <v>103</v>
      </c>
      <c r="G6" s="36"/>
      <c r="H6" s="56">
        <f>'Nueva EPS'!W6</f>
        <v>1</v>
      </c>
      <c r="I6" s="59">
        <f>Sanitas!W6</f>
        <v>0</v>
      </c>
      <c r="J6" s="59">
        <f>Coosalud!W6</f>
        <v>0.25</v>
      </c>
      <c r="K6" s="59">
        <f>Famisanar!W6</f>
        <v>0.6</v>
      </c>
      <c r="L6" s="59" t="e">
        <f>'Salud Total'!W6</f>
        <v>#DIV/0!</v>
      </c>
      <c r="M6" s="59" t="e">
        <f>Proteger!W6</f>
        <v>#DIV/0!</v>
      </c>
      <c r="N6" s="38" t="e">
        <f t="shared" si="1"/>
        <v>#DIV/0!</v>
      </c>
      <c r="O6" s="65" t="e">
        <f t="shared" si="0"/>
        <v>#DIV/0!</v>
      </c>
      <c r="P6" s="13"/>
    </row>
    <row r="7" spans="1:16" ht="56.25" customHeight="1">
      <c r="A7" s="22" t="s">
        <v>12</v>
      </c>
      <c r="B7" s="24" t="s">
        <v>85</v>
      </c>
      <c r="C7" s="23" t="s">
        <v>53</v>
      </c>
      <c r="D7" s="23" t="s">
        <v>73</v>
      </c>
      <c r="E7" s="32" t="s">
        <v>28</v>
      </c>
      <c r="F7" s="54">
        <f>SUM('Nueva EPS'!F7+Sanitas!F7+Coosalud!F7+Famisanar!F7+'Salud Total'!F7+Proteger!F7)</f>
        <v>28215</v>
      </c>
      <c r="G7" s="55"/>
      <c r="H7" s="56">
        <f>'Nueva EPS'!W7</f>
        <v>6.4207189586565044E-2</v>
      </c>
      <c r="I7" s="59">
        <f>Sanitas!W7</f>
        <v>4.894420360788701E-3</v>
      </c>
      <c r="J7" s="59">
        <f>Coosalud!W7</f>
        <v>6.1394380853277836E-2</v>
      </c>
      <c r="K7" s="59">
        <f>Famisanar!W7</f>
        <v>0.47576147576147576</v>
      </c>
      <c r="L7" s="59">
        <f>'Salud Total'!W7</f>
        <v>9.8987626546681667E-2</v>
      </c>
      <c r="M7" s="59">
        <f>Proteger!W7</f>
        <v>7.7669902912621352E-2</v>
      </c>
      <c r="N7" s="38">
        <f t="shared" si="1"/>
        <v>0.78291499602141035</v>
      </c>
      <c r="O7" s="65">
        <f t="shared" si="0"/>
        <v>0.13048583267023506</v>
      </c>
      <c r="P7" s="13"/>
    </row>
    <row r="8" spans="1:16" ht="54" customHeight="1">
      <c r="A8" s="22" t="s">
        <v>12</v>
      </c>
      <c r="B8" s="25" t="s">
        <v>86</v>
      </c>
      <c r="C8" s="26" t="s">
        <v>54</v>
      </c>
      <c r="D8" s="26" t="s">
        <v>55</v>
      </c>
      <c r="E8" s="33" t="s">
        <v>29</v>
      </c>
      <c r="F8" s="52">
        <f>SUM('Nueva EPS'!F8+Sanitas!F8+Coosalud!F8+Famisanar!F8+'Salud Total'!F8+Proteger!F8)</f>
        <v>17438</v>
      </c>
      <c r="G8" s="55" t="s">
        <v>130</v>
      </c>
      <c r="H8" s="56">
        <f>'Nueva EPS'!W8</f>
        <v>0.1081026875250702</v>
      </c>
      <c r="I8" s="59">
        <f>Sanitas!W8</f>
        <v>0.14322250639386189</v>
      </c>
      <c r="J8" s="59">
        <f>Coosalud!W8</f>
        <v>0.08</v>
      </c>
      <c r="K8" s="59">
        <f>Famisanar!W8</f>
        <v>0.26276276276276278</v>
      </c>
      <c r="L8" s="59">
        <f>'Salud Total'!W8</f>
        <v>0.36467236467236469</v>
      </c>
      <c r="M8" s="59">
        <f>Proteger!W8</f>
        <v>0.375</v>
      </c>
      <c r="N8" s="38">
        <f t="shared" si="1"/>
        <v>1.3337603213540596</v>
      </c>
      <c r="O8" s="65">
        <f t="shared" si="0"/>
        <v>0.22229338689234326</v>
      </c>
      <c r="P8" s="13"/>
    </row>
    <row r="9" spans="1:16" ht="54" customHeight="1">
      <c r="A9" s="22" t="s">
        <v>12</v>
      </c>
      <c r="B9" s="25" t="s">
        <v>87</v>
      </c>
      <c r="C9" s="26" t="s">
        <v>57</v>
      </c>
      <c r="D9" s="26" t="s">
        <v>74</v>
      </c>
      <c r="E9" s="33" t="s">
        <v>56</v>
      </c>
      <c r="F9" s="36" t="s">
        <v>103</v>
      </c>
      <c r="G9" s="55"/>
      <c r="H9" s="56">
        <f>'Nueva EPS'!W9</f>
        <v>1.8552875695732839E-3</v>
      </c>
      <c r="I9" s="59">
        <f>Sanitas!W9</f>
        <v>3.5714285714285713E-3</v>
      </c>
      <c r="J9" s="59">
        <f>Coosalud!W9</f>
        <v>0</v>
      </c>
      <c r="K9" s="59">
        <f>Famisanar!W9</f>
        <v>0</v>
      </c>
      <c r="L9" s="59">
        <f>'Salud Total'!W9</f>
        <v>5.208333333333333E-3</v>
      </c>
      <c r="M9" s="59">
        <f>Proteger!W9</f>
        <v>5.5555555555555552E-2</v>
      </c>
      <c r="N9" s="38">
        <f t="shared" si="1"/>
        <v>6.6190605029890742E-2</v>
      </c>
      <c r="O9" s="65">
        <f t="shared" si="0"/>
        <v>1.103176750498179E-2</v>
      </c>
      <c r="P9" s="13"/>
    </row>
    <row r="10" spans="1:16" ht="65.25" customHeight="1">
      <c r="A10" s="27" t="s">
        <v>12</v>
      </c>
      <c r="B10" s="28" t="s">
        <v>88</v>
      </c>
      <c r="C10" s="29" t="s">
        <v>58</v>
      </c>
      <c r="D10" s="29" t="s">
        <v>75</v>
      </c>
      <c r="E10" s="42" t="s">
        <v>30</v>
      </c>
      <c r="F10" s="36" t="s">
        <v>103</v>
      </c>
      <c r="G10" s="57"/>
      <c r="H10" s="56">
        <f>'Nueva EPS'!W10</f>
        <v>1.8552875695732839E-3</v>
      </c>
      <c r="I10" s="59">
        <f>Sanitas!W10</f>
        <v>0</v>
      </c>
      <c r="J10" s="59">
        <f>Coosalud!W10</f>
        <v>0</v>
      </c>
      <c r="K10" s="59">
        <f>Famisanar!W10</f>
        <v>0</v>
      </c>
      <c r="L10" s="59">
        <f>'Salud Total'!W10</f>
        <v>5.208333333333333E-3</v>
      </c>
      <c r="M10" s="59">
        <f>Proteger!W10</f>
        <v>5.5555555555555552E-2</v>
      </c>
      <c r="N10" s="38">
        <f t="shared" si="1"/>
        <v>6.261917645846217E-2</v>
      </c>
      <c r="O10" s="65">
        <f t="shared" si="0"/>
        <v>1.0436529409743696E-2</v>
      </c>
      <c r="P10" s="13"/>
    </row>
    <row r="11" spans="1:16" ht="55.5" customHeight="1">
      <c r="A11" s="22" t="s">
        <v>13</v>
      </c>
      <c r="B11" s="22" t="s">
        <v>89</v>
      </c>
      <c r="C11" s="23" t="s">
        <v>21</v>
      </c>
      <c r="D11" s="23" t="s">
        <v>76</v>
      </c>
      <c r="E11" s="32" t="s">
        <v>31</v>
      </c>
      <c r="F11" s="52">
        <f>SUM('Nueva EPS'!F11+Sanitas!F11+Coosalud!F11+Famisanar!F11+'Salud Total'!F11+Proteger!F11)</f>
        <v>17213</v>
      </c>
      <c r="G11" s="58" t="s">
        <v>131</v>
      </c>
      <c r="H11" s="56">
        <f>'Nueva EPS'!W11</f>
        <v>0.10215782341290523</v>
      </c>
      <c r="I11" s="59">
        <f>Sanitas!W11</f>
        <v>0.23458609678211739</v>
      </c>
      <c r="J11" s="59">
        <f>Coosalud!W11</f>
        <v>0.23709167544783982</v>
      </c>
      <c r="K11" s="59">
        <f>Famisanar!W11</f>
        <v>1.1776859504132231</v>
      </c>
      <c r="L11" s="59">
        <f>'Salud Total'!W11</f>
        <v>0.65504241281809605</v>
      </c>
      <c r="M11" s="59">
        <f>Proteger!W11</f>
        <v>0.4022988505747126</v>
      </c>
      <c r="N11" s="38">
        <f t="shared" si="1"/>
        <v>2.8088628094488941</v>
      </c>
      <c r="O11" s="65">
        <f t="shared" si="0"/>
        <v>0.46814380157481567</v>
      </c>
      <c r="P11" s="13"/>
    </row>
    <row r="12" spans="1:16" ht="54.75" customHeight="1">
      <c r="A12" s="4" t="s">
        <v>13</v>
      </c>
      <c r="B12" s="5" t="s">
        <v>90</v>
      </c>
      <c r="C12" s="1" t="s">
        <v>19</v>
      </c>
      <c r="D12" s="1" t="s">
        <v>77</v>
      </c>
      <c r="E12" s="44" t="s">
        <v>31</v>
      </c>
      <c r="F12" s="52">
        <f>SUM('Nueva EPS'!F12+Sanitas!F12+Coosalud!F12+Famisanar!F12+'Salud Total'!F12+Proteger!F12)</f>
        <v>17213</v>
      </c>
      <c r="G12" s="58" t="s">
        <v>144</v>
      </c>
      <c r="H12" s="56">
        <f>'Nueva EPS'!W12</f>
        <v>8.235171479203586E-2</v>
      </c>
      <c r="I12" s="59">
        <f>Sanitas!W12</f>
        <v>0.22844509948415623</v>
      </c>
      <c r="J12" s="59">
        <f>Coosalud!W12</f>
        <v>0.15279241306638566</v>
      </c>
      <c r="K12" s="59">
        <f>Famisanar!W12</f>
        <v>0.50619834710743794</v>
      </c>
      <c r="L12" s="59">
        <f>'Salud Total'!W12</f>
        <v>1.3477851083883128</v>
      </c>
      <c r="M12" s="59">
        <f>Proteger!W12</f>
        <v>0.86206896551724133</v>
      </c>
      <c r="N12" s="38">
        <f t="shared" si="1"/>
        <v>3.1796416483555694</v>
      </c>
      <c r="O12" s="65">
        <f t="shared" si="0"/>
        <v>0.5299402747259282</v>
      </c>
      <c r="P12" s="13"/>
    </row>
    <row r="13" spans="1:16" ht="63" customHeight="1">
      <c r="A13" s="8" t="s">
        <v>13</v>
      </c>
      <c r="B13" s="7" t="s">
        <v>91</v>
      </c>
      <c r="C13" s="3" t="s">
        <v>20</v>
      </c>
      <c r="D13" s="3" t="s">
        <v>59</v>
      </c>
      <c r="E13" s="45" t="s">
        <v>31</v>
      </c>
      <c r="F13" s="52">
        <f>SUM('Nueva EPS'!F13+Sanitas!F13+Coosalud!F13+Famisanar!F13+'Salud Total'!F13+Proteger!F13)</f>
        <v>17213</v>
      </c>
      <c r="G13" s="58" t="s">
        <v>145</v>
      </c>
      <c r="H13" s="56">
        <f>'Nueva EPS'!W13</f>
        <v>8.235171479203586E-2</v>
      </c>
      <c r="I13" s="59">
        <f>Sanitas!W13</f>
        <v>4.1758781626136082E-2</v>
      </c>
      <c r="J13" s="59">
        <f>Coosalud!W13</f>
        <v>3.1612223393045306E-2</v>
      </c>
      <c r="K13" s="59">
        <f>Famisanar!W13</f>
        <v>3.4435261707988975E-2</v>
      </c>
      <c r="L13" s="59">
        <f>'Salud Total'!W13</f>
        <v>1.5692742695570217</v>
      </c>
      <c r="M13" s="59">
        <f>Proteger!W13</f>
        <v>0.11494252873563217</v>
      </c>
      <c r="N13" s="38">
        <f t="shared" si="1"/>
        <v>1.8743747798118602</v>
      </c>
      <c r="O13" s="65">
        <f t="shared" si="0"/>
        <v>0.31239579663531003</v>
      </c>
      <c r="P13" s="13"/>
    </row>
    <row r="14" spans="1:16" ht="63" customHeight="1">
      <c r="A14" s="9" t="s">
        <v>13</v>
      </c>
      <c r="B14" s="6" t="s">
        <v>104</v>
      </c>
      <c r="C14" s="2" t="s">
        <v>92</v>
      </c>
      <c r="D14" s="2" t="s">
        <v>61</v>
      </c>
      <c r="E14" s="46" t="s">
        <v>60</v>
      </c>
      <c r="F14" s="36" t="s">
        <v>103</v>
      </c>
      <c r="G14" s="36"/>
      <c r="H14" s="56">
        <f>'Nueva EPS'!W14</f>
        <v>0.10759493670886076</v>
      </c>
      <c r="I14" s="59">
        <f>Sanitas!W14</f>
        <v>0.14705882352941177</v>
      </c>
      <c r="J14" s="59">
        <f>Coosalud!W14</f>
        <v>0.16666666666666666</v>
      </c>
      <c r="K14" s="59">
        <f>Famisanar!W14</f>
        <v>1.3</v>
      </c>
      <c r="L14" s="59">
        <f>'Salud Total'!W14</f>
        <v>0</v>
      </c>
      <c r="M14" s="59">
        <f>Proteger!W14</f>
        <v>0</v>
      </c>
      <c r="N14" s="38"/>
      <c r="O14" s="65">
        <f t="shared" ref="O14:O18" si="2">AVERAGE(H14:M14)</f>
        <v>0.28688673781748991</v>
      </c>
      <c r="P14" s="13"/>
    </row>
    <row r="15" spans="1:16" ht="70.5" customHeight="1">
      <c r="A15" s="19" t="s">
        <v>13</v>
      </c>
      <c r="B15" s="20" t="s">
        <v>93</v>
      </c>
      <c r="C15" s="21" t="s">
        <v>34</v>
      </c>
      <c r="D15" s="21" t="s">
        <v>32</v>
      </c>
      <c r="E15" s="47" t="s">
        <v>33</v>
      </c>
      <c r="F15" s="36" t="s">
        <v>103</v>
      </c>
      <c r="G15" s="36"/>
      <c r="H15" s="56">
        <f>'Nueva EPS'!W15</f>
        <v>0</v>
      </c>
      <c r="I15" s="59">
        <f>Sanitas!W15</f>
        <v>0</v>
      </c>
      <c r="J15" s="59">
        <f>Coosalud!W15</f>
        <v>0</v>
      </c>
      <c r="K15" s="59">
        <f>Famisanar!W15</f>
        <v>0</v>
      </c>
      <c r="L15" s="59" t="e">
        <f>'Salud Total'!W15</f>
        <v>#DIV/0!</v>
      </c>
      <c r="M15" s="59" t="e">
        <f>Proteger!W15</f>
        <v>#DIV/0!</v>
      </c>
      <c r="N15" s="38" t="e">
        <f t="shared" si="1"/>
        <v>#DIV/0!</v>
      </c>
      <c r="O15" s="65" t="e">
        <f t="shared" si="2"/>
        <v>#DIV/0!</v>
      </c>
      <c r="P15" s="13"/>
    </row>
    <row r="16" spans="1:16" ht="63.75">
      <c r="A16" s="9" t="s">
        <v>14</v>
      </c>
      <c r="B16" s="6" t="s">
        <v>94</v>
      </c>
      <c r="C16" s="2" t="s">
        <v>64</v>
      </c>
      <c r="D16" s="2" t="s">
        <v>63</v>
      </c>
      <c r="E16" s="46" t="s">
        <v>62</v>
      </c>
      <c r="F16" s="52">
        <f>SUM('Nueva EPS'!F16+Sanitas!F16+Coosalud!F16+Famisanar!F16+'Salud Total'!F16+Proteger!F16)</f>
        <v>37911</v>
      </c>
      <c r="G16" s="57" t="s">
        <v>100</v>
      </c>
      <c r="H16" s="56">
        <f>'Nueva EPS'!W16</f>
        <v>9.1752434577929573E-2</v>
      </c>
      <c r="I16" s="59">
        <f>Sanitas!W16</f>
        <v>6.8836775172091941E-2</v>
      </c>
      <c r="J16" s="59">
        <f>Coosalud!W16</f>
        <v>3.4022988505747129E-2</v>
      </c>
      <c r="K16" s="59">
        <f>Famisanar!W16</f>
        <v>0.12757475083056477</v>
      </c>
      <c r="L16" s="59">
        <f>'Salud Total'!W16</f>
        <v>0.33609777389786122</v>
      </c>
      <c r="M16" s="59">
        <f>Proteger!W16</f>
        <v>0.12182741116751269</v>
      </c>
      <c r="N16" s="38">
        <f t="shared" si="1"/>
        <v>0.78011213415170733</v>
      </c>
      <c r="O16" s="65">
        <f t="shared" si="2"/>
        <v>0.13001868902528455</v>
      </c>
      <c r="P16" s="13"/>
    </row>
    <row r="17" spans="1:16" ht="58.5" customHeight="1">
      <c r="A17" s="9" t="s">
        <v>14</v>
      </c>
      <c r="B17" s="6" t="s">
        <v>95</v>
      </c>
      <c r="C17" s="2" t="s">
        <v>67</v>
      </c>
      <c r="D17" s="2" t="s">
        <v>66</v>
      </c>
      <c r="E17" s="46" t="s">
        <v>65</v>
      </c>
      <c r="F17" s="36" t="s">
        <v>103</v>
      </c>
      <c r="G17" s="36"/>
      <c r="H17" s="56">
        <f>'Nueva EPS'!W17</f>
        <v>4.8289738430583498E-2</v>
      </c>
      <c r="I17" s="59">
        <f>Sanitas!W17</f>
        <v>0</v>
      </c>
      <c r="J17" s="59">
        <f>Coosalud!W17</f>
        <v>8.1081081081081086E-2</v>
      </c>
      <c r="K17" s="59">
        <f>Famisanar!W17</f>
        <v>8.3333333333333329E-2</v>
      </c>
      <c r="L17" s="59">
        <f>'Salud Total'!W17</f>
        <v>0</v>
      </c>
      <c r="M17" s="59">
        <f>Proteger!W17</f>
        <v>0</v>
      </c>
      <c r="N17" s="38"/>
      <c r="O17" s="65">
        <f t="shared" si="2"/>
        <v>3.5450692140832983E-2</v>
      </c>
      <c r="P17" s="13"/>
    </row>
    <row r="18" spans="1:16" ht="76.5">
      <c r="A18" s="9" t="s">
        <v>14</v>
      </c>
      <c r="B18" s="6" t="s">
        <v>96</v>
      </c>
      <c r="C18" s="2" t="s">
        <v>36</v>
      </c>
      <c r="D18" s="2" t="s">
        <v>68</v>
      </c>
      <c r="E18" s="46" t="s">
        <v>35</v>
      </c>
      <c r="F18" s="36" t="s">
        <v>103</v>
      </c>
      <c r="G18" s="36"/>
      <c r="H18" s="56">
        <f>'Nueva EPS'!W18</f>
        <v>0</v>
      </c>
      <c r="I18" s="59" t="e">
        <f>Sanitas!W18</f>
        <v>#DIV/0!</v>
      </c>
      <c r="J18" s="59">
        <f>Coosalud!W18</f>
        <v>1</v>
      </c>
      <c r="K18" s="59">
        <f>Famisanar!W18</f>
        <v>0</v>
      </c>
      <c r="L18" s="59" t="e">
        <f>'Salud Total'!W18</f>
        <v>#DIV/0!</v>
      </c>
      <c r="M18" s="59" t="e">
        <f>Proteger!W18</f>
        <v>#DIV/0!</v>
      </c>
      <c r="N18" s="38" t="e">
        <f t="shared" si="1"/>
        <v>#DIV/0!</v>
      </c>
      <c r="O18" s="65" t="e">
        <f t="shared" si="2"/>
        <v>#DIV/0!</v>
      </c>
      <c r="P18" s="13"/>
    </row>
    <row r="51" spans="10:10">
      <c r="J51" s="12">
        <f>24/29</f>
        <v>0.82758620689655171</v>
      </c>
    </row>
  </sheetData>
  <autoFilter ref="A1:P18" xr:uid="{4B5EB547-C5AD-410F-BF62-5BD4028D488D}"/>
  <pageMargins left="0.7" right="0.7" top="0.75" bottom="0.75" header="0.3" footer="0.3"/>
  <pageSetup orientation="portrait" horizontalDpi="0" verticalDpi="0" r:id="rId1"/>
  <extLst>
    <ext xmlns:x14="http://schemas.microsoft.com/office/spreadsheetml/2009/9/main" uri="{05C60535-1F16-4fd2-B633-F4F36F0B64E0}">
      <x14:sparklineGroups xmlns:xm="http://schemas.microsoft.com/office/excel/2006/main">
        <x14:sparklineGroup displayEmptyCellsAs="gap" xr2:uid="{4516CC23-8071-4820-94FB-7E69068D6125}">
          <x14:colorSeries rgb="FF376092"/>
          <x14:colorNegative rgb="FFD00000"/>
          <x14:colorAxis rgb="FF000000"/>
          <x14:colorMarkers rgb="FFD00000"/>
          <x14:colorFirst rgb="FFD00000"/>
          <x14:colorLast rgb="FFD00000"/>
          <x14:colorHigh rgb="FFD00000"/>
          <x14:colorLow rgb="FFD00000"/>
          <x14:sparklines>
            <x14:sparkline>
              <xm:f>Consolidado!H2:M2</xm:f>
              <xm:sqref>P2</xm:sqref>
            </x14:sparkline>
            <x14:sparkline>
              <xm:f>Consolidado!H3:M3</xm:f>
              <xm:sqref>P3</xm:sqref>
            </x14:sparkline>
            <x14:sparkline>
              <xm:f>Consolidado!H4:M4</xm:f>
              <xm:sqref>P4</xm:sqref>
            </x14:sparkline>
            <x14:sparkline>
              <xm:f>Consolidado!H5:M5</xm:f>
              <xm:sqref>P5</xm:sqref>
            </x14:sparkline>
            <x14:sparkline>
              <xm:f>Consolidado!H6:M6</xm:f>
              <xm:sqref>P6</xm:sqref>
            </x14:sparkline>
            <x14:sparkline>
              <xm:f>Consolidado!H7:M7</xm:f>
              <xm:sqref>P7</xm:sqref>
            </x14:sparkline>
            <x14:sparkline>
              <xm:f>Consolidado!H8:M8</xm:f>
              <xm:sqref>P8</xm:sqref>
            </x14:sparkline>
            <x14:sparkline>
              <xm:f>Consolidado!H9:M9</xm:f>
              <xm:sqref>P9</xm:sqref>
            </x14:sparkline>
            <x14:sparkline>
              <xm:f>Consolidado!H10:M10</xm:f>
              <xm:sqref>P10</xm:sqref>
            </x14:sparkline>
            <x14:sparkline>
              <xm:f>Consolidado!H11:M11</xm:f>
              <xm:sqref>P11</xm:sqref>
            </x14:sparkline>
            <x14:sparkline>
              <xm:f>Consolidado!H12:M12</xm:f>
              <xm:sqref>P12</xm:sqref>
            </x14:sparkline>
            <x14:sparkline>
              <xm:f>Consolidado!H13:M13</xm:f>
              <xm:sqref>P13</xm:sqref>
            </x14:sparkline>
            <x14:sparkline>
              <xm:f>Consolidado!H14:M14</xm:f>
              <xm:sqref>P14</xm:sqref>
            </x14:sparkline>
            <x14:sparkline>
              <xm:f>Consolidado!H15:M15</xm:f>
              <xm:sqref>P15</xm:sqref>
            </x14:sparkline>
            <x14:sparkline>
              <xm:f>Consolidado!H16:M16</xm:f>
              <xm:sqref>P16</xm:sqref>
            </x14:sparkline>
            <x14:sparkline>
              <xm:f>Consolidado!H17:M17</xm:f>
              <xm:sqref>P17</xm:sqref>
            </x14:sparkline>
            <x14:sparkline>
              <xm:f>Consolidado!H18:M18</xm:f>
              <xm:sqref>P18</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10F29-8C79-42F3-A5FB-2E68558C6126}">
  <sheetPr>
    <tabColor theme="0" tint="-0.14999847407452621"/>
  </sheetPr>
  <dimension ref="A1:W18"/>
  <sheetViews>
    <sheetView topLeftCell="G1" workbookViewId="0">
      <selection activeCell="F1" sqref="F1:W1"/>
    </sheetView>
  </sheetViews>
  <sheetFormatPr baseColWidth="10" defaultColWidth="9.140625" defaultRowHeight="12.75"/>
  <cols>
    <col min="1" max="1" width="11.5703125" style="12" customWidth="1"/>
    <col min="2" max="2" width="15.85546875" style="12" customWidth="1"/>
    <col min="3" max="3" width="37.5703125" style="12" customWidth="1"/>
    <col min="4" max="4" width="34.5703125" style="12" customWidth="1"/>
    <col min="5" max="5" width="33.42578125" style="12" customWidth="1"/>
    <col min="6" max="6" width="18" style="12" customWidth="1"/>
    <col min="7" max="8" width="14.140625" style="11" customWidth="1"/>
    <col min="9" max="9" width="14.85546875" style="12" customWidth="1"/>
    <col min="10" max="14" width="9.42578125" style="12" customWidth="1"/>
    <col min="15" max="15" width="9.7109375" style="12" customWidth="1"/>
    <col min="16" max="16" width="9.140625" style="12" customWidth="1"/>
    <col min="17" max="17" width="12.42578125" style="12" customWidth="1"/>
    <col min="18" max="18" width="11.42578125" style="12" customWidth="1"/>
    <col min="19" max="19" width="9.140625" style="12"/>
    <col min="20" max="20" width="10.85546875" style="12" customWidth="1"/>
    <col min="21" max="21" width="11.7109375" style="12" customWidth="1"/>
    <col min="22" max="22" width="12.7109375" style="12" customWidth="1"/>
    <col min="23" max="16384" width="9.140625" style="12"/>
  </cols>
  <sheetData>
    <row r="1" spans="1:23" s="18" customFormat="1" ht="24">
      <c r="A1" s="14" t="s">
        <v>23</v>
      </c>
      <c r="B1" s="14" t="s">
        <v>79</v>
      </c>
      <c r="C1" s="15" t="s">
        <v>24</v>
      </c>
      <c r="D1" s="15" t="s">
        <v>22</v>
      </c>
      <c r="E1" s="15" t="s">
        <v>25</v>
      </c>
      <c r="F1" s="48" t="s">
        <v>38</v>
      </c>
      <c r="G1" s="16" t="s">
        <v>97</v>
      </c>
      <c r="H1" s="16" t="s">
        <v>99</v>
      </c>
      <c r="I1" s="17" t="s">
        <v>98</v>
      </c>
      <c r="J1" s="17" t="s">
        <v>37</v>
      </c>
      <c r="K1" s="17" t="s">
        <v>1</v>
      </c>
      <c r="L1" s="17" t="s">
        <v>2</v>
      </c>
      <c r="M1" s="17" t="s">
        <v>3</v>
      </c>
      <c r="N1" s="17" t="s">
        <v>4</v>
      </c>
      <c r="O1" s="17" t="s">
        <v>5</v>
      </c>
      <c r="P1" s="17" t="s">
        <v>6</v>
      </c>
      <c r="Q1" s="17" t="s">
        <v>7</v>
      </c>
      <c r="R1" s="17" t="s">
        <v>8</v>
      </c>
      <c r="S1" s="17" t="s">
        <v>9</v>
      </c>
      <c r="T1" s="17" t="s">
        <v>10</v>
      </c>
      <c r="U1" s="17" t="s">
        <v>11</v>
      </c>
      <c r="V1" s="16" t="s">
        <v>101</v>
      </c>
      <c r="W1" s="16" t="s">
        <v>102</v>
      </c>
    </row>
    <row r="2" spans="1:23" ht="38.25">
      <c r="A2" s="22" t="s">
        <v>0</v>
      </c>
      <c r="B2" s="30" t="s">
        <v>80</v>
      </c>
      <c r="C2" s="31" t="s">
        <v>69</v>
      </c>
      <c r="D2" s="23" t="s">
        <v>71</v>
      </c>
      <c r="E2" s="32" t="s">
        <v>27</v>
      </c>
      <c r="F2" s="51">
        <f>SUM('Nueva EPS'!F2+Sanitas!F4+Coosalud!F2+Famisanar!F2+'Salud Total'!F2+Proteger!F2)</f>
        <v>14212</v>
      </c>
      <c r="G2" s="34">
        <v>0.33</v>
      </c>
      <c r="H2" s="35">
        <f>F2*0.33</f>
        <v>4689.96</v>
      </c>
      <c r="I2" s="35"/>
      <c r="J2" s="37"/>
      <c r="K2" s="37"/>
      <c r="L2" s="37"/>
      <c r="M2" s="37"/>
      <c r="N2" s="38"/>
      <c r="O2" s="38"/>
      <c r="P2" s="39"/>
      <c r="Q2" s="39"/>
      <c r="R2" s="39"/>
      <c r="S2" s="39"/>
      <c r="T2" s="39"/>
      <c r="U2" s="39"/>
      <c r="V2" s="39">
        <f>SUM(J2:U2)</f>
        <v>0</v>
      </c>
      <c r="W2" s="40">
        <f>V2/H2</f>
        <v>0</v>
      </c>
    </row>
    <row r="3" spans="1:23" ht="51">
      <c r="A3" s="22" t="s">
        <v>0</v>
      </c>
      <c r="B3" s="30" t="s">
        <v>81</v>
      </c>
      <c r="C3" s="31" t="s">
        <v>50</v>
      </c>
      <c r="D3" s="23" t="s">
        <v>49</v>
      </c>
      <c r="E3" s="33" t="s">
        <v>48</v>
      </c>
      <c r="F3" s="36"/>
      <c r="G3" s="34">
        <v>1</v>
      </c>
      <c r="H3" s="34">
        <v>1</v>
      </c>
      <c r="I3" s="35"/>
      <c r="J3" s="37"/>
      <c r="K3" s="37"/>
      <c r="L3" s="37"/>
      <c r="M3" s="37"/>
      <c r="N3" s="38"/>
      <c r="O3" s="38"/>
      <c r="P3" s="39"/>
      <c r="Q3" s="39"/>
      <c r="R3" s="39"/>
      <c r="S3" s="39"/>
      <c r="T3" s="39"/>
      <c r="U3" s="39"/>
      <c r="V3" s="39">
        <f>SUM(J3:U3)</f>
        <v>0</v>
      </c>
      <c r="W3" s="41" t="e">
        <f>V3/V2</f>
        <v>#DIV/0!</v>
      </c>
    </row>
    <row r="4" spans="1:23" ht="51">
      <c r="A4" s="22" t="s">
        <v>0</v>
      </c>
      <c r="B4" s="30" t="s">
        <v>82</v>
      </c>
      <c r="C4" s="31" t="s">
        <v>70</v>
      </c>
      <c r="D4" s="32" t="s">
        <v>72</v>
      </c>
      <c r="E4" s="42" t="s">
        <v>26</v>
      </c>
      <c r="F4" s="36"/>
      <c r="G4" s="34">
        <v>0.2</v>
      </c>
      <c r="H4" s="35">
        <f>F4*0.2</f>
        <v>0</v>
      </c>
      <c r="I4" s="35"/>
      <c r="J4" s="37"/>
      <c r="K4" s="37"/>
      <c r="L4" s="37"/>
      <c r="M4" s="37"/>
      <c r="N4" s="38"/>
      <c r="O4" s="38"/>
      <c r="P4" s="37"/>
      <c r="Q4" s="39"/>
      <c r="R4" s="39"/>
      <c r="S4" s="39"/>
      <c r="T4" s="39"/>
      <c r="U4" s="39"/>
      <c r="V4" s="39">
        <f t="shared" ref="V4:V18" si="0">SUM(J4:U4)</f>
        <v>0</v>
      </c>
      <c r="W4" s="40" t="e">
        <f t="shared" ref="W4:W16" si="1">V4/H4</f>
        <v>#DIV/0!</v>
      </c>
    </row>
    <row r="5" spans="1:23" ht="38.25">
      <c r="A5" s="22" t="s">
        <v>0</v>
      </c>
      <c r="B5" s="30" t="s">
        <v>83</v>
      </c>
      <c r="C5" s="31" t="s">
        <v>51</v>
      </c>
      <c r="D5" s="31" t="s">
        <v>46</v>
      </c>
      <c r="E5" s="43" t="s">
        <v>45</v>
      </c>
      <c r="F5" s="36"/>
      <c r="G5" s="34">
        <v>1</v>
      </c>
      <c r="H5" s="34">
        <v>1</v>
      </c>
      <c r="I5" s="35"/>
      <c r="J5" s="37"/>
      <c r="K5" s="37"/>
      <c r="L5" s="37"/>
      <c r="M5" s="37"/>
      <c r="N5" s="38"/>
      <c r="O5" s="38"/>
      <c r="P5" s="37"/>
      <c r="Q5" s="39"/>
      <c r="R5" s="39"/>
      <c r="S5" s="39"/>
      <c r="T5" s="39"/>
      <c r="U5" s="39"/>
      <c r="V5" s="39">
        <f t="shared" si="0"/>
        <v>0</v>
      </c>
      <c r="W5" s="40" t="e">
        <f>V5/V4</f>
        <v>#DIV/0!</v>
      </c>
    </row>
    <row r="6" spans="1:23" ht="51">
      <c r="A6" s="22" t="s">
        <v>0</v>
      </c>
      <c r="B6" s="22" t="s">
        <v>84</v>
      </c>
      <c r="C6" s="23" t="s">
        <v>18</v>
      </c>
      <c r="D6" s="23" t="s">
        <v>52</v>
      </c>
      <c r="E6" s="32" t="s">
        <v>47</v>
      </c>
      <c r="F6" s="36"/>
      <c r="G6" s="34">
        <v>1</v>
      </c>
      <c r="H6" s="34">
        <v>1</v>
      </c>
      <c r="I6" s="35"/>
      <c r="J6" s="37"/>
      <c r="K6" s="37"/>
      <c r="L6" s="37"/>
      <c r="M6" s="37"/>
      <c r="N6" s="38"/>
      <c r="O6" s="38"/>
      <c r="P6" s="37"/>
      <c r="Q6" s="39"/>
      <c r="R6" s="39"/>
      <c r="S6" s="39"/>
      <c r="T6" s="39"/>
      <c r="U6" s="39"/>
      <c r="V6" s="39">
        <f t="shared" si="0"/>
        <v>0</v>
      </c>
      <c r="W6" s="40" t="e">
        <f>V6/V3</f>
        <v>#DIV/0!</v>
      </c>
    </row>
    <row r="7" spans="1:23" ht="56.25" customHeight="1">
      <c r="A7" s="22" t="s">
        <v>12</v>
      </c>
      <c r="B7" s="24" t="s">
        <v>85</v>
      </c>
      <c r="C7" s="23" t="s">
        <v>53</v>
      </c>
      <c r="D7" s="23" t="s">
        <v>73</v>
      </c>
      <c r="E7" s="32" t="s">
        <v>28</v>
      </c>
      <c r="F7" s="36"/>
      <c r="G7" s="34">
        <v>1</v>
      </c>
      <c r="H7" s="35">
        <f>F7*1</f>
        <v>0</v>
      </c>
      <c r="I7" s="35"/>
      <c r="J7" s="37"/>
      <c r="K7" s="37"/>
      <c r="L7" s="37"/>
      <c r="M7" s="37"/>
      <c r="N7" s="38"/>
      <c r="O7" s="38"/>
      <c r="P7" s="37"/>
      <c r="Q7" s="39"/>
      <c r="R7" s="39"/>
      <c r="S7" s="39"/>
      <c r="T7" s="39"/>
      <c r="U7" s="39"/>
      <c r="V7" s="39">
        <f t="shared" si="0"/>
        <v>0</v>
      </c>
      <c r="W7" s="40" t="e">
        <f t="shared" si="1"/>
        <v>#DIV/0!</v>
      </c>
    </row>
    <row r="8" spans="1:23" ht="54" customHeight="1">
      <c r="A8" s="22" t="s">
        <v>12</v>
      </c>
      <c r="B8" s="25" t="s">
        <v>86</v>
      </c>
      <c r="C8" s="26" t="s">
        <v>54</v>
      </c>
      <c r="D8" s="26" t="s">
        <v>55</v>
      </c>
      <c r="E8" s="33" t="s">
        <v>29</v>
      </c>
      <c r="F8" s="36"/>
      <c r="G8" s="34">
        <v>0.5</v>
      </c>
      <c r="H8" s="35">
        <f>F8*0.5</f>
        <v>0</v>
      </c>
      <c r="I8" s="35"/>
      <c r="J8" s="37"/>
      <c r="K8" s="37"/>
      <c r="L8" s="37"/>
      <c r="M8" s="37"/>
      <c r="N8" s="38"/>
      <c r="O8" s="38"/>
      <c r="P8" s="37"/>
      <c r="Q8" s="39"/>
      <c r="R8" s="39"/>
      <c r="S8" s="39"/>
      <c r="T8" s="39"/>
      <c r="U8" s="39"/>
      <c r="V8" s="39">
        <f t="shared" si="0"/>
        <v>0</v>
      </c>
      <c r="W8" s="40" t="e">
        <f t="shared" si="1"/>
        <v>#DIV/0!</v>
      </c>
    </row>
    <row r="9" spans="1:23" ht="54" customHeight="1">
      <c r="A9" s="22" t="s">
        <v>12</v>
      </c>
      <c r="B9" s="25" t="s">
        <v>87</v>
      </c>
      <c r="C9" s="26" t="s">
        <v>57</v>
      </c>
      <c r="D9" s="26" t="s">
        <v>74</v>
      </c>
      <c r="E9" s="33" t="s">
        <v>56</v>
      </c>
      <c r="F9" s="36"/>
      <c r="G9" s="34">
        <v>1</v>
      </c>
      <c r="H9" s="34">
        <v>1</v>
      </c>
      <c r="I9" s="35"/>
      <c r="J9" s="37"/>
      <c r="K9" s="37"/>
      <c r="L9" s="37"/>
      <c r="M9" s="37"/>
      <c r="N9" s="38"/>
      <c r="O9" s="38"/>
      <c r="P9" s="37"/>
      <c r="Q9" s="39"/>
      <c r="R9" s="39"/>
      <c r="S9" s="39"/>
      <c r="T9" s="39"/>
      <c r="U9" s="39"/>
      <c r="V9" s="39">
        <f t="shared" si="0"/>
        <v>0</v>
      </c>
      <c r="W9" s="40" t="e">
        <f>V9/V8</f>
        <v>#DIV/0!</v>
      </c>
    </row>
    <row r="10" spans="1:23" ht="65.25" customHeight="1">
      <c r="A10" s="27" t="s">
        <v>12</v>
      </c>
      <c r="B10" s="28" t="s">
        <v>88</v>
      </c>
      <c r="C10" s="29" t="s">
        <v>58</v>
      </c>
      <c r="D10" s="29" t="s">
        <v>75</v>
      </c>
      <c r="E10" s="42" t="s">
        <v>30</v>
      </c>
      <c r="F10" s="36"/>
      <c r="G10" s="34">
        <v>1</v>
      </c>
      <c r="H10" s="34">
        <v>1</v>
      </c>
      <c r="I10" s="35"/>
      <c r="J10" s="37"/>
      <c r="K10" s="37"/>
      <c r="L10" s="37"/>
      <c r="M10" s="37"/>
      <c r="N10" s="38"/>
      <c r="O10" s="38"/>
      <c r="P10" s="37"/>
      <c r="Q10" s="39"/>
      <c r="R10" s="39"/>
      <c r="S10" s="39"/>
      <c r="T10" s="39"/>
      <c r="U10" s="39"/>
      <c r="V10" s="39">
        <f t="shared" si="0"/>
        <v>0</v>
      </c>
      <c r="W10" s="40" t="e">
        <f>V10/V8</f>
        <v>#DIV/0!</v>
      </c>
    </row>
    <row r="11" spans="1:23" ht="55.5" customHeight="1">
      <c r="A11" s="22" t="s">
        <v>13</v>
      </c>
      <c r="B11" s="22" t="s">
        <v>89</v>
      </c>
      <c r="C11" s="23" t="s">
        <v>21</v>
      </c>
      <c r="D11" s="23" t="s">
        <v>76</v>
      </c>
      <c r="E11" s="32" t="s">
        <v>31</v>
      </c>
      <c r="F11" s="36"/>
      <c r="G11" s="34">
        <v>0.2</v>
      </c>
      <c r="H11" s="35">
        <f>F11*0.2</f>
        <v>0</v>
      </c>
      <c r="I11" s="35"/>
      <c r="J11" s="37"/>
      <c r="K11" s="37"/>
      <c r="L11" s="37"/>
      <c r="M11" s="37"/>
      <c r="N11" s="38"/>
      <c r="O11" s="38"/>
      <c r="P11" s="37"/>
      <c r="Q11" s="39"/>
      <c r="R11" s="39"/>
      <c r="S11" s="39"/>
      <c r="T11" s="39"/>
      <c r="U11" s="39"/>
      <c r="V11" s="39">
        <f t="shared" si="0"/>
        <v>0</v>
      </c>
      <c r="W11" s="40" t="e">
        <f t="shared" si="1"/>
        <v>#DIV/0!</v>
      </c>
    </row>
    <row r="12" spans="1:23" ht="54.75" customHeight="1">
      <c r="A12" s="4" t="s">
        <v>13</v>
      </c>
      <c r="B12" s="5" t="s">
        <v>90</v>
      </c>
      <c r="C12" s="1" t="s">
        <v>19</v>
      </c>
      <c r="D12" s="1" t="s">
        <v>77</v>
      </c>
      <c r="E12" s="44" t="s">
        <v>31</v>
      </c>
      <c r="F12" s="36"/>
      <c r="G12" s="34">
        <v>0.2</v>
      </c>
      <c r="H12" s="35">
        <f>F12*0.2</f>
        <v>0</v>
      </c>
      <c r="I12" s="35"/>
      <c r="J12" s="37"/>
      <c r="K12" s="37"/>
      <c r="L12" s="37"/>
      <c r="M12" s="37"/>
      <c r="N12" s="38"/>
      <c r="O12" s="38"/>
      <c r="P12" s="37"/>
      <c r="Q12" s="39"/>
      <c r="R12" s="39"/>
      <c r="S12" s="39"/>
      <c r="T12" s="39"/>
      <c r="U12" s="39"/>
      <c r="V12" s="39">
        <f t="shared" si="0"/>
        <v>0</v>
      </c>
      <c r="W12" s="40" t="e">
        <f t="shared" si="1"/>
        <v>#DIV/0!</v>
      </c>
    </row>
    <row r="13" spans="1:23" ht="63" customHeight="1">
      <c r="A13" s="8" t="s">
        <v>13</v>
      </c>
      <c r="B13" s="7" t="s">
        <v>91</v>
      </c>
      <c r="C13" s="3" t="s">
        <v>20</v>
      </c>
      <c r="D13" s="3" t="s">
        <v>59</v>
      </c>
      <c r="E13" s="45" t="s">
        <v>31</v>
      </c>
      <c r="F13" s="36"/>
      <c r="G13" s="34">
        <v>0.2</v>
      </c>
      <c r="H13" s="35">
        <f>F13*0.2</f>
        <v>0</v>
      </c>
      <c r="I13" s="35"/>
      <c r="J13" s="37"/>
      <c r="K13" s="37"/>
      <c r="L13" s="37"/>
      <c r="M13" s="37"/>
      <c r="N13" s="38"/>
      <c r="O13" s="38"/>
      <c r="P13" s="37"/>
      <c r="Q13" s="39"/>
      <c r="R13" s="39"/>
      <c r="S13" s="39"/>
      <c r="T13" s="39"/>
      <c r="U13" s="39"/>
      <c r="V13" s="39">
        <f t="shared" si="0"/>
        <v>0</v>
      </c>
      <c r="W13" s="40" t="e">
        <f t="shared" si="1"/>
        <v>#DIV/0!</v>
      </c>
    </row>
    <row r="14" spans="1:23" ht="63" customHeight="1">
      <c r="A14" s="9" t="s">
        <v>13</v>
      </c>
      <c r="B14" s="6" t="s">
        <v>104</v>
      </c>
      <c r="C14" s="2" t="s">
        <v>92</v>
      </c>
      <c r="D14" s="2" t="s">
        <v>61</v>
      </c>
      <c r="E14" s="46" t="s">
        <v>60</v>
      </c>
      <c r="F14" s="36"/>
      <c r="G14" s="34">
        <v>1</v>
      </c>
      <c r="H14" s="34">
        <v>1</v>
      </c>
      <c r="I14" s="35"/>
      <c r="J14" s="37"/>
      <c r="K14" s="37"/>
      <c r="L14" s="37"/>
      <c r="M14" s="37"/>
      <c r="N14" s="38"/>
      <c r="O14" s="38"/>
      <c r="P14" s="37"/>
      <c r="Q14" s="39"/>
      <c r="R14" s="39"/>
      <c r="S14" s="39"/>
      <c r="T14" s="39"/>
      <c r="U14" s="39"/>
      <c r="V14" s="39">
        <f t="shared" si="0"/>
        <v>0</v>
      </c>
      <c r="W14" s="40" t="e">
        <f>V14/V13</f>
        <v>#DIV/0!</v>
      </c>
    </row>
    <row r="15" spans="1:23" ht="70.5" customHeight="1">
      <c r="A15" s="19" t="s">
        <v>13</v>
      </c>
      <c r="B15" s="20" t="s">
        <v>93</v>
      </c>
      <c r="C15" s="21" t="s">
        <v>34</v>
      </c>
      <c r="D15" s="21" t="s">
        <v>32</v>
      </c>
      <c r="E15" s="47" t="s">
        <v>33</v>
      </c>
      <c r="F15" s="36"/>
      <c r="G15" s="34">
        <v>1</v>
      </c>
      <c r="H15" s="34">
        <v>1</v>
      </c>
      <c r="I15" s="35"/>
      <c r="J15" s="37"/>
      <c r="K15" s="37"/>
      <c r="L15" s="37"/>
      <c r="M15" s="37"/>
      <c r="N15" s="38"/>
      <c r="O15" s="38"/>
      <c r="P15" s="37"/>
      <c r="Q15" s="39"/>
      <c r="R15" s="39"/>
      <c r="S15" s="39"/>
      <c r="T15" s="39"/>
      <c r="U15" s="39"/>
      <c r="V15" s="39">
        <f t="shared" si="0"/>
        <v>0</v>
      </c>
      <c r="W15" s="40" t="e">
        <f>V15/V14</f>
        <v>#DIV/0!</v>
      </c>
    </row>
    <row r="16" spans="1:23" ht="63.75">
      <c r="A16" s="9" t="s">
        <v>14</v>
      </c>
      <c r="B16" s="6" t="s">
        <v>94</v>
      </c>
      <c r="C16" s="2" t="s">
        <v>64</v>
      </c>
      <c r="D16" s="2" t="s">
        <v>63</v>
      </c>
      <c r="E16" s="46" t="s">
        <v>62</v>
      </c>
      <c r="F16" s="36"/>
      <c r="G16" s="34">
        <v>0.5</v>
      </c>
      <c r="H16" s="35">
        <f>F16*0.5</f>
        <v>0</v>
      </c>
      <c r="I16" s="35"/>
      <c r="J16" s="37"/>
      <c r="K16" s="37"/>
      <c r="L16" s="37"/>
      <c r="M16" s="37"/>
      <c r="N16" s="38"/>
      <c r="O16" s="38"/>
      <c r="P16" s="37"/>
      <c r="Q16" s="39"/>
      <c r="R16" s="39"/>
      <c r="S16" s="39"/>
      <c r="T16" s="39"/>
      <c r="U16" s="39"/>
      <c r="V16" s="39">
        <f t="shared" si="0"/>
        <v>0</v>
      </c>
      <c r="W16" s="40" t="e">
        <f t="shared" si="1"/>
        <v>#DIV/0!</v>
      </c>
    </row>
    <row r="17" spans="1:23" ht="58.5" customHeight="1">
      <c r="A17" s="9" t="s">
        <v>14</v>
      </c>
      <c r="B17" s="6" t="s">
        <v>95</v>
      </c>
      <c r="C17" s="2" t="s">
        <v>67</v>
      </c>
      <c r="D17" s="2" t="s">
        <v>66</v>
      </c>
      <c r="E17" s="46" t="s">
        <v>65</v>
      </c>
      <c r="F17" s="36"/>
      <c r="G17" s="34">
        <v>1</v>
      </c>
      <c r="H17" s="34">
        <v>1</v>
      </c>
      <c r="I17" s="35"/>
      <c r="J17" s="37"/>
      <c r="K17" s="37"/>
      <c r="L17" s="37"/>
      <c r="M17" s="37"/>
      <c r="N17" s="38"/>
      <c r="O17" s="38"/>
      <c r="P17" s="37"/>
      <c r="Q17" s="39"/>
      <c r="R17" s="39"/>
      <c r="S17" s="39"/>
      <c r="T17" s="39"/>
      <c r="U17" s="39"/>
      <c r="V17" s="39">
        <f t="shared" si="0"/>
        <v>0</v>
      </c>
      <c r="W17" s="40" t="e">
        <f>V17/V16</f>
        <v>#DIV/0!</v>
      </c>
    </row>
    <row r="18" spans="1:23" ht="76.5">
      <c r="A18" s="9" t="s">
        <v>14</v>
      </c>
      <c r="B18" s="6" t="s">
        <v>96</v>
      </c>
      <c r="C18" s="2" t="s">
        <v>36</v>
      </c>
      <c r="D18" s="2" t="s">
        <v>68</v>
      </c>
      <c r="E18" s="46" t="s">
        <v>35</v>
      </c>
      <c r="F18" s="36"/>
      <c r="G18" s="34">
        <v>1</v>
      </c>
      <c r="H18" s="34">
        <v>1</v>
      </c>
      <c r="I18" s="35"/>
      <c r="J18" s="37"/>
      <c r="K18" s="37"/>
      <c r="L18" s="37"/>
      <c r="M18" s="37"/>
      <c r="N18" s="38"/>
      <c r="O18" s="38"/>
      <c r="P18" s="37"/>
      <c r="Q18" s="39"/>
      <c r="R18" s="39"/>
      <c r="S18" s="39"/>
      <c r="T18" s="39"/>
      <c r="U18" s="39"/>
      <c r="V18" s="39">
        <f t="shared" si="0"/>
        <v>0</v>
      </c>
      <c r="W18" s="40" t="e">
        <f>V18/V17</f>
        <v>#DIV/0!</v>
      </c>
    </row>
  </sheetData>
  <autoFilter ref="A1:U18" xr:uid="{80110F29-8C79-42F3-A5FB-2E68558C6126}"/>
  <phoneticPr fontId="13" type="noConversion"/>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06738-A4EE-4DD9-B098-9AEA26588978}">
  <sheetPr>
    <tabColor rgb="FFFFFF00"/>
  </sheetPr>
  <dimension ref="A3:U111"/>
  <sheetViews>
    <sheetView tabSelected="1" topLeftCell="A3" workbookViewId="0">
      <pane xSplit="3" ySplit="2" topLeftCell="D5" activePane="bottomRight" state="frozen"/>
      <selection activeCell="A3" sqref="A3"/>
      <selection pane="topRight" activeCell="D3" sqref="D3"/>
      <selection pane="bottomLeft" activeCell="A5" sqref="A5"/>
      <selection pane="bottomRight" activeCell="I10" sqref="I10"/>
    </sheetView>
  </sheetViews>
  <sheetFormatPr baseColWidth="10" defaultRowHeight="15"/>
  <cols>
    <col min="1" max="1" width="14.42578125" customWidth="1"/>
    <col min="2" max="2" width="30" customWidth="1"/>
    <col min="3" max="3" width="15.42578125" customWidth="1"/>
    <col min="4" max="4" width="11.28515625" customWidth="1"/>
    <col min="11" max="18" width="0" hidden="1" customWidth="1"/>
  </cols>
  <sheetData>
    <row r="3" spans="1:21" s="73" customFormat="1" ht="38.25" customHeight="1">
      <c r="A3" s="83" t="s">
        <v>23</v>
      </c>
      <c r="B3" s="78" t="s">
        <v>191</v>
      </c>
      <c r="C3" s="78" t="s">
        <v>176</v>
      </c>
      <c r="D3" s="76" t="s">
        <v>38</v>
      </c>
      <c r="E3" s="74" t="s">
        <v>97</v>
      </c>
      <c r="F3" s="74" t="s">
        <v>99</v>
      </c>
      <c r="G3" s="75" t="s">
        <v>37</v>
      </c>
      <c r="H3" s="75" t="s">
        <v>1</v>
      </c>
      <c r="I3" s="75" t="s">
        <v>2</v>
      </c>
      <c r="J3" s="75" t="s">
        <v>3</v>
      </c>
      <c r="K3" s="75" t="s">
        <v>4</v>
      </c>
      <c r="L3" s="75" t="s">
        <v>5</v>
      </c>
      <c r="M3" s="75" t="s">
        <v>6</v>
      </c>
      <c r="N3" s="75" t="s">
        <v>7</v>
      </c>
      <c r="O3" s="75" t="s">
        <v>8</v>
      </c>
      <c r="P3" s="75" t="s">
        <v>9</v>
      </c>
      <c r="Q3" s="75" t="s">
        <v>10</v>
      </c>
      <c r="R3" s="75" t="s">
        <v>11</v>
      </c>
      <c r="S3" s="74" t="s">
        <v>101</v>
      </c>
      <c r="T3" s="74" t="s">
        <v>102</v>
      </c>
      <c r="U3" s="99" t="s">
        <v>194</v>
      </c>
    </row>
    <row r="4" spans="1:21" s="73" customFormat="1">
      <c r="A4" s="86" t="s">
        <v>0</v>
      </c>
      <c r="B4" s="77" t="s">
        <v>80</v>
      </c>
      <c r="C4" s="77" t="s">
        <v>172</v>
      </c>
      <c r="D4" s="77">
        <v>3208</v>
      </c>
      <c r="E4" s="77">
        <v>0.33</v>
      </c>
      <c r="F4" s="77">
        <v>1058.6400000000001</v>
      </c>
      <c r="G4" s="77">
        <v>83</v>
      </c>
      <c r="H4" s="77">
        <v>79</v>
      </c>
      <c r="I4" s="77">
        <v>70</v>
      </c>
      <c r="J4" s="77">
        <v>87</v>
      </c>
      <c r="K4" s="77"/>
      <c r="L4" s="77"/>
      <c r="M4" s="77"/>
      <c r="N4" s="77"/>
      <c r="O4" s="77"/>
      <c r="P4" s="77"/>
      <c r="Q4" s="77"/>
      <c r="R4" s="77"/>
      <c r="S4" s="77">
        <f>SUM(G4:R4)</f>
        <v>319</v>
      </c>
      <c r="T4" s="84">
        <f>S4/F4</f>
        <v>0.30133000831255191</v>
      </c>
      <c r="U4" s="100">
        <f>T4</f>
        <v>0.30133000831255191</v>
      </c>
    </row>
    <row r="5" spans="1:21" s="73" customFormat="1">
      <c r="A5" s="86" t="s">
        <v>0</v>
      </c>
      <c r="B5" s="77" t="s">
        <v>81</v>
      </c>
      <c r="C5" s="77" t="s">
        <v>172</v>
      </c>
      <c r="D5" s="77">
        <v>3208</v>
      </c>
      <c r="E5" s="87">
        <v>0.1</v>
      </c>
      <c r="F5" s="77">
        <f>D5*E5</f>
        <v>320.8</v>
      </c>
      <c r="G5" s="77">
        <v>3</v>
      </c>
      <c r="H5" s="77">
        <v>6</v>
      </c>
      <c r="I5" s="77">
        <v>3</v>
      </c>
      <c r="J5" s="77">
        <v>11</v>
      </c>
      <c r="K5" s="77"/>
      <c r="L5" s="77"/>
      <c r="M5" s="77"/>
      <c r="N5" s="77"/>
      <c r="O5" s="77"/>
      <c r="P5" s="77"/>
      <c r="Q5" s="77"/>
      <c r="R5" s="77"/>
      <c r="S5" s="77">
        <f>SUM(G5:R5)</f>
        <v>23</v>
      </c>
      <c r="T5" s="92">
        <f>S5/S4</f>
        <v>7.2100313479623826E-2</v>
      </c>
      <c r="U5" s="100">
        <f t="shared" ref="U5:U68" si="0">T5</f>
        <v>7.2100313479623826E-2</v>
      </c>
    </row>
    <row r="6" spans="1:21" s="73" customFormat="1">
      <c r="A6" s="86" t="s">
        <v>0</v>
      </c>
      <c r="B6" s="77" t="s">
        <v>82</v>
      </c>
      <c r="C6" s="77" t="s">
        <v>172</v>
      </c>
      <c r="D6" s="77">
        <v>18802</v>
      </c>
      <c r="E6" s="77">
        <v>0.2</v>
      </c>
      <c r="F6" s="77">
        <v>3760.4</v>
      </c>
      <c r="G6" s="77">
        <v>23</v>
      </c>
      <c r="H6" s="77">
        <v>22</v>
      </c>
      <c r="I6" s="77">
        <v>61</v>
      </c>
      <c r="J6" s="77">
        <v>56</v>
      </c>
      <c r="K6" s="77"/>
      <c r="L6" s="77"/>
      <c r="M6" s="77"/>
      <c r="N6" s="77"/>
      <c r="O6" s="77"/>
      <c r="P6" s="77"/>
      <c r="Q6" s="77"/>
      <c r="R6" s="77"/>
      <c r="S6" s="77">
        <f>SUM(G6:R6)</f>
        <v>162</v>
      </c>
      <c r="T6" s="98">
        <f>S6/F6</f>
        <v>4.3080523348579938E-2</v>
      </c>
      <c r="U6" s="100">
        <f t="shared" si="0"/>
        <v>4.3080523348579938E-2</v>
      </c>
    </row>
    <row r="7" spans="1:21" s="73" customFormat="1">
      <c r="A7" s="86" t="s">
        <v>0</v>
      </c>
      <c r="B7" s="77" t="s">
        <v>83</v>
      </c>
      <c r="C7" s="77" t="s">
        <v>172</v>
      </c>
      <c r="D7" s="77">
        <v>18802</v>
      </c>
      <c r="E7" s="77">
        <v>0.15</v>
      </c>
      <c r="F7" s="77">
        <f>F6*E7</f>
        <v>564.05999999999995</v>
      </c>
      <c r="G7" s="77">
        <v>7</v>
      </c>
      <c r="H7" s="77">
        <v>10</v>
      </c>
      <c r="I7" s="77">
        <v>12</v>
      </c>
      <c r="J7" s="77">
        <v>13</v>
      </c>
      <c r="K7" s="77"/>
      <c r="L7" s="77"/>
      <c r="M7" s="77"/>
      <c r="N7" s="77"/>
      <c r="O7" s="77"/>
      <c r="P7" s="77"/>
      <c r="Q7" s="77"/>
      <c r="R7" s="77"/>
      <c r="S7" s="77">
        <f>SUM(G7:R7)</f>
        <v>42</v>
      </c>
      <c r="T7" s="84">
        <f>S7/S6</f>
        <v>0.25925925925925924</v>
      </c>
      <c r="U7" s="100">
        <f t="shared" si="0"/>
        <v>0.25925925925925924</v>
      </c>
    </row>
    <row r="8" spans="1:21" s="73" customFormat="1">
      <c r="A8" s="86" t="s">
        <v>0</v>
      </c>
      <c r="B8" s="77" t="s">
        <v>84</v>
      </c>
      <c r="C8" s="77" t="s">
        <v>172</v>
      </c>
      <c r="D8" s="77">
        <v>3208</v>
      </c>
      <c r="E8" s="97">
        <v>0.5</v>
      </c>
      <c r="F8" s="77">
        <v>1</v>
      </c>
      <c r="G8" s="77">
        <v>1</v>
      </c>
      <c r="H8" s="77">
        <v>4</v>
      </c>
      <c r="I8" s="77">
        <v>4</v>
      </c>
      <c r="J8" s="77">
        <v>8</v>
      </c>
      <c r="K8" s="77"/>
      <c r="L8" s="77"/>
      <c r="M8" s="77"/>
      <c r="N8" s="77"/>
      <c r="O8" s="77"/>
      <c r="P8" s="77"/>
      <c r="Q8" s="77"/>
      <c r="R8" s="77"/>
      <c r="S8" s="77">
        <f>SUM(G8:R8)</f>
        <v>17</v>
      </c>
      <c r="T8" s="84">
        <f>S8/S5</f>
        <v>0.73913043478260865</v>
      </c>
      <c r="U8" s="100">
        <f t="shared" si="0"/>
        <v>0.73913043478260865</v>
      </c>
    </row>
    <row r="9" spans="1:21" s="73" customFormat="1">
      <c r="A9" s="86" t="s">
        <v>12</v>
      </c>
      <c r="B9" s="77" t="s">
        <v>85</v>
      </c>
      <c r="C9" s="77" t="s">
        <v>172</v>
      </c>
      <c r="D9" s="77">
        <v>14827</v>
      </c>
      <c r="E9" s="77">
        <v>1</v>
      </c>
      <c r="F9" s="77">
        <v>14827</v>
      </c>
      <c r="G9" s="77">
        <v>451</v>
      </c>
      <c r="H9" s="77">
        <v>506</v>
      </c>
      <c r="I9" s="77">
        <v>661</v>
      </c>
      <c r="J9" s="77">
        <v>499</v>
      </c>
      <c r="K9" s="77"/>
      <c r="L9" s="77"/>
      <c r="M9" s="77"/>
      <c r="N9" s="77"/>
      <c r="O9" s="77"/>
      <c r="P9" s="77"/>
      <c r="Q9" s="77"/>
      <c r="R9" s="77"/>
      <c r="S9" s="77">
        <f>SUM(G9:R9)</f>
        <v>2117</v>
      </c>
      <c r="T9" s="84">
        <f>S9/F9</f>
        <v>0.14278006339785526</v>
      </c>
      <c r="U9" s="100">
        <f t="shared" si="0"/>
        <v>0.14278006339785526</v>
      </c>
    </row>
    <row r="10" spans="1:21" s="73" customFormat="1">
      <c r="A10" s="86" t="s">
        <v>12</v>
      </c>
      <c r="B10" s="77" t="s">
        <v>86</v>
      </c>
      <c r="C10" s="77" t="s">
        <v>172</v>
      </c>
      <c r="D10" s="77">
        <v>9972</v>
      </c>
      <c r="E10" s="77">
        <v>0.5</v>
      </c>
      <c r="F10" s="77">
        <v>4986</v>
      </c>
      <c r="G10" s="77">
        <v>239</v>
      </c>
      <c r="H10" s="77">
        <v>308</v>
      </c>
      <c r="I10" s="77">
        <v>285</v>
      </c>
      <c r="J10" s="77">
        <v>265</v>
      </c>
      <c r="K10" s="77"/>
      <c r="L10" s="77"/>
      <c r="M10" s="77"/>
      <c r="N10" s="77"/>
      <c r="O10" s="77"/>
      <c r="P10" s="77"/>
      <c r="Q10" s="77"/>
      <c r="R10" s="77"/>
      <c r="S10" s="77">
        <f>SUM(G10:R10)</f>
        <v>1097</v>
      </c>
      <c r="T10" s="84">
        <f>S10/F10</f>
        <v>0.22001604492579221</v>
      </c>
      <c r="U10" s="100">
        <f t="shared" si="0"/>
        <v>0.22001604492579221</v>
      </c>
    </row>
    <row r="11" spans="1:21" s="73" customFormat="1">
      <c r="A11" s="86" t="s">
        <v>12</v>
      </c>
      <c r="B11" s="77" t="s">
        <v>87</v>
      </c>
      <c r="C11" s="77" t="s">
        <v>172</v>
      </c>
      <c r="D11" s="77">
        <v>9972</v>
      </c>
      <c r="E11" s="77">
        <v>0.01</v>
      </c>
      <c r="F11" s="97">
        <f>F10*E11</f>
        <v>49.86</v>
      </c>
      <c r="G11" s="77">
        <v>0</v>
      </c>
      <c r="H11" s="77">
        <v>1</v>
      </c>
      <c r="I11" s="77">
        <v>0</v>
      </c>
      <c r="J11" s="77">
        <v>0</v>
      </c>
      <c r="K11" s="77"/>
      <c r="L11" s="77"/>
      <c r="M11" s="77"/>
      <c r="N11" s="77"/>
      <c r="O11" s="77"/>
      <c r="P11" s="77"/>
      <c r="Q11" s="77"/>
      <c r="R11" s="77"/>
      <c r="S11" s="77">
        <f>SUM(G11:R11)</f>
        <v>1</v>
      </c>
      <c r="T11" s="92">
        <f>S11/S10</f>
        <v>9.1157702825888785E-4</v>
      </c>
      <c r="U11" s="100">
        <f t="shared" si="0"/>
        <v>9.1157702825888785E-4</v>
      </c>
    </row>
    <row r="12" spans="1:21" s="73" customFormat="1">
      <c r="A12" s="86" t="s">
        <v>12</v>
      </c>
      <c r="B12" s="77" t="s">
        <v>88</v>
      </c>
      <c r="C12" s="77" t="s">
        <v>172</v>
      </c>
      <c r="D12" s="77">
        <v>9972</v>
      </c>
      <c r="E12" s="77">
        <v>0.01</v>
      </c>
      <c r="F12" s="97">
        <v>49.86</v>
      </c>
      <c r="G12" s="77">
        <v>0</v>
      </c>
      <c r="H12" s="77">
        <v>1</v>
      </c>
      <c r="I12" s="77">
        <v>0</v>
      </c>
      <c r="J12" s="77">
        <v>0</v>
      </c>
      <c r="K12" s="77"/>
      <c r="L12" s="77"/>
      <c r="M12" s="77"/>
      <c r="N12" s="77"/>
      <c r="O12" s="77"/>
      <c r="P12" s="77"/>
      <c r="Q12" s="77"/>
      <c r="R12" s="77"/>
      <c r="S12" s="77">
        <f>SUM(G12:R12)</f>
        <v>1</v>
      </c>
      <c r="T12" s="77">
        <f>S12/S11</f>
        <v>1</v>
      </c>
      <c r="U12" s="100">
        <f t="shared" si="0"/>
        <v>1</v>
      </c>
    </row>
    <row r="13" spans="1:21" s="73" customFormat="1">
      <c r="A13" s="73" t="s">
        <v>13</v>
      </c>
      <c r="B13" s="77" t="s">
        <v>89</v>
      </c>
      <c r="C13" s="77" t="s">
        <v>172</v>
      </c>
      <c r="D13" s="77">
        <v>9593</v>
      </c>
      <c r="E13" s="77">
        <v>0.2</v>
      </c>
      <c r="F13" s="77">
        <v>1918.6000000000001</v>
      </c>
      <c r="G13" s="77">
        <v>394</v>
      </c>
      <c r="H13" s="77">
        <v>396</v>
      </c>
      <c r="I13" s="77">
        <v>368</v>
      </c>
      <c r="J13" s="77">
        <v>231</v>
      </c>
      <c r="K13" s="77"/>
      <c r="L13" s="77"/>
      <c r="M13" s="77"/>
      <c r="N13" s="77"/>
      <c r="O13" s="77"/>
      <c r="P13" s="77"/>
      <c r="Q13" s="77"/>
      <c r="R13" s="77"/>
      <c r="S13" s="77">
        <f>SUM(G13:R13)</f>
        <v>1389</v>
      </c>
      <c r="T13" s="84">
        <f>S13/F13</f>
        <v>0.72396539143125194</v>
      </c>
      <c r="U13" s="100">
        <f t="shared" si="0"/>
        <v>0.72396539143125194</v>
      </c>
    </row>
    <row r="14" spans="1:21" s="73" customFormat="1">
      <c r="A14" s="73" t="s">
        <v>13</v>
      </c>
      <c r="B14" s="77" t="s">
        <v>90</v>
      </c>
      <c r="C14" s="77" t="s">
        <v>172</v>
      </c>
      <c r="D14" s="77">
        <v>9593</v>
      </c>
      <c r="E14" s="77">
        <v>0.2</v>
      </c>
      <c r="F14" s="77">
        <v>1918.6000000000001</v>
      </c>
      <c r="G14" s="77">
        <v>267</v>
      </c>
      <c r="H14" s="77">
        <v>509</v>
      </c>
      <c r="I14" s="77">
        <v>453</v>
      </c>
      <c r="J14" s="77">
        <v>470</v>
      </c>
      <c r="K14" s="77"/>
      <c r="L14" s="77"/>
      <c r="M14" s="77"/>
      <c r="N14" s="77"/>
      <c r="O14" s="77"/>
      <c r="P14" s="77"/>
      <c r="Q14" s="77"/>
      <c r="R14" s="77"/>
      <c r="S14" s="77">
        <f t="shared" ref="S14:S17" si="1">SUM(G14:R14)</f>
        <v>1699</v>
      </c>
      <c r="T14" s="84">
        <f t="shared" ref="T14:T17" si="2">S14/F14</f>
        <v>0.88554154070676527</v>
      </c>
      <c r="U14" s="100">
        <f t="shared" si="0"/>
        <v>0.88554154070676527</v>
      </c>
    </row>
    <row r="15" spans="1:21" s="73" customFormat="1">
      <c r="A15" s="73" t="s">
        <v>13</v>
      </c>
      <c r="B15" s="77" t="s">
        <v>91</v>
      </c>
      <c r="C15" s="77" t="s">
        <v>172</v>
      </c>
      <c r="D15" s="77">
        <v>9593</v>
      </c>
      <c r="E15" s="77">
        <v>0.2</v>
      </c>
      <c r="F15" s="77">
        <v>1918.6000000000001</v>
      </c>
      <c r="G15" s="77">
        <v>116</v>
      </c>
      <c r="H15" s="77">
        <v>116</v>
      </c>
      <c r="I15" s="77">
        <v>116</v>
      </c>
      <c r="J15" s="77">
        <v>119</v>
      </c>
      <c r="K15" s="77"/>
      <c r="L15" s="77"/>
      <c r="M15" s="77"/>
      <c r="N15" s="77"/>
      <c r="O15" s="77"/>
      <c r="P15" s="77"/>
      <c r="Q15" s="77"/>
      <c r="R15" s="77"/>
      <c r="S15" s="77">
        <f t="shared" si="1"/>
        <v>467</v>
      </c>
      <c r="T15" s="84">
        <f t="shared" si="2"/>
        <v>0.24340665068278952</v>
      </c>
      <c r="U15" s="100">
        <f t="shared" si="0"/>
        <v>0.24340665068278952</v>
      </c>
    </row>
    <row r="16" spans="1:21" s="73" customFormat="1">
      <c r="A16" s="86" t="s">
        <v>13</v>
      </c>
      <c r="B16" s="77" t="s">
        <v>104</v>
      </c>
      <c r="C16" s="77" t="s">
        <v>172</v>
      </c>
      <c r="D16" s="77">
        <v>9593</v>
      </c>
      <c r="E16" s="77">
        <v>0.1</v>
      </c>
      <c r="F16" s="77">
        <f>E16*D16</f>
        <v>959.30000000000007</v>
      </c>
      <c r="G16" s="77">
        <v>33</v>
      </c>
      <c r="H16" s="77">
        <v>63</v>
      </c>
      <c r="I16" s="77">
        <v>37</v>
      </c>
      <c r="J16" s="77">
        <v>62</v>
      </c>
      <c r="K16" s="77"/>
      <c r="L16" s="77"/>
      <c r="M16" s="77"/>
      <c r="N16" s="77"/>
      <c r="O16" s="77"/>
      <c r="P16" s="77"/>
      <c r="Q16" s="77"/>
      <c r="R16" s="77"/>
      <c r="S16" s="77">
        <f t="shared" si="1"/>
        <v>195</v>
      </c>
      <c r="T16" s="84">
        <f>S16/S14</f>
        <v>0.11477339611536198</v>
      </c>
      <c r="U16" s="100">
        <f t="shared" si="0"/>
        <v>0.11477339611536198</v>
      </c>
    </row>
    <row r="17" spans="1:21" s="73" customFormat="1">
      <c r="A17" s="86" t="s">
        <v>13</v>
      </c>
      <c r="B17" s="77" t="s">
        <v>93</v>
      </c>
      <c r="C17" s="77" t="s">
        <v>172</v>
      </c>
      <c r="D17" s="77">
        <v>9593</v>
      </c>
      <c r="E17" s="77">
        <v>0.1</v>
      </c>
      <c r="F17" s="77">
        <f>E17*D17</f>
        <v>959.30000000000007</v>
      </c>
      <c r="G17" s="77">
        <v>0</v>
      </c>
      <c r="H17" s="77">
        <v>0</v>
      </c>
      <c r="I17" s="77">
        <v>0</v>
      </c>
      <c r="J17" s="77">
        <v>0</v>
      </c>
      <c r="K17" s="77"/>
      <c r="L17" s="77"/>
      <c r="M17" s="77"/>
      <c r="N17" s="77"/>
      <c r="O17" s="77"/>
      <c r="P17" s="77"/>
      <c r="Q17" s="77"/>
      <c r="R17" s="77"/>
      <c r="S17" s="77">
        <f t="shared" si="1"/>
        <v>0</v>
      </c>
      <c r="T17" s="84">
        <f>S17/S16</f>
        <v>0</v>
      </c>
      <c r="U17" s="100">
        <f t="shared" si="0"/>
        <v>0</v>
      </c>
    </row>
    <row r="18" spans="1:21" s="73" customFormat="1">
      <c r="A18" s="86" t="s">
        <v>14</v>
      </c>
      <c r="B18" s="77" t="s">
        <v>94</v>
      </c>
      <c r="C18" s="77" t="s">
        <v>172</v>
      </c>
      <c r="D18" s="77">
        <v>21667</v>
      </c>
      <c r="E18" s="77">
        <v>0.5</v>
      </c>
      <c r="F18" s="77">
        <v>10833.5</v>
      </c>
      <c r="G18" s="77">
        <v>389</v>
      </c>
      <c r="H18" s="77">
        <v>624</v>
      </c>
      <c r="I18" s="77">
        <v>883</v>
      </c>
      <c r="J18" s="77">
        <v>592</v>
      </c>
      <c r="K18" s="77"/>
      <c r="L18" s="77"/>
      <c r="M18" s="77"/>
      <c r="N18" s="77"/>
      <c r="O18" s="77"/>
      <c r="P18" s="77"/>
      <c r="Q18" s="77"/>
      <c r="R18" s="77"/>
      <c r="S18" s="77">
        <f>SUM(G18:R18)</f>
        <v>2488</v>
      </c>
      <c r="T18" s="84">
        <f>S18/F18</f>
        <v>0.22965800526145752</v>
      </c>
      <c r="U18" s="100">
        <f t="shared" si="0"/>
        <v>0.22965800526145752</v>
      </c>
    </row>
    <row r="19" spans="1:21" s="73" customFormat="1">
      <c r="A19" s="86" t="s">
        <v>14</v>
      </c>
      <c r="B19" s="77" t="s">
        <v>95</v>
      </c>
      <c r="C19" s="77" t="s">
        <v>172</v>
      </c>
      <c r="D19" s="77">
        <v>21667</v>
      </c>
      <c r="E19" s="87">
        <v>0.1</v>
      </c>
      <c r="F19" s="77">
        <f>F18*E19</f>
        <v>1083.3500000000001</v>
      </c>
      <c r="G19" s="77">
        <v>14</v>
      </c>
      <c r="H19" s="77">
        <v>34</v>
      </c>
      <c r="I19" s="77">
        <v>37</v>
      </c>
      <c r="J19" s="77">
        <v>30</v>
      </c>
      <c r="K19" s="77"/>
      <c r="L19" s="77"/>
      <c r="M19" s="77"/>
      <c r="N19" s="77"/>
      <c r="O19" s="77"/>
      <c r="P19" s="77"/>
      <c r="Q19" s="77"/>
      <c r="R19" s="77"/>
      <c r="S19" s="77">
        <f>SUM(G19:R19)</f>
        <v>115</v>
      </c>
      <c r="T19" s="84">
        <f>S19/S18</f>
        <v>4.6221864951768492E-2</v>
      </c>
      <c r="U19" s="100">
        <f t="shared" si="0"/>
        <v>4.6221864951768492E-2</v>
      </c>
    </row>
    <row r="20" spans="1:21" s="73" customFormat="1">
      <c r="A20" s="86" t="s">
        <v>14</v>
      </c>
      <c r="B20" s="77" t="s">
        <v>96</v>
      </c>
      <c r="C20" s="77" t="s">
        <v>172</v>
      </c>
      <c r="D20" s="77">
        <v>21667</v>
      </c>
      <c r="E20" s="87">
        <v>0.1</v>
      </c>
      <c r="F20" s="77">
        <v>1083.3500000000001</v>
      </c>
      <c r="G20" s="77">
        <v>0</v>
      </c>
      <c r="H20" s="77">
        <v>0</v>
      </c>
      <c r="I20" s="77">
        <v>0</v>
      </c>
      <c r="J20" s="77">
        <v>0</v>
      </c>
      <c r="K20" s="77"/>
      <c r="L20" s="77"/>
      <c r="M20" s="77"/>
      <c r="N20" s="77"/>
      <c r="O20" s="77"/>
      <c r="P20" s="77"/>
      <c r="Q20" s="77"/>
      <c r="R20" s="77"/>
      <c r="S20" s="77">
        <f>SUM(G20:R20)</f>
        <v>0</v>
      </c>
      <c r="T20" s="77">
        <f>S20/S19</f>
        <v>0</v>
      </c>
      <c r="U20" s="100">
        <f t="shared" si="0"/>
        <v>0</v>
      </c>
    </row>
    <row r="21" spans="1:21" s="73" customFormat="1">
      <c r="B21" s="77" t="s">
        <v>78</v>
      </c>
      <c r="C21" s="77" t="s">
        <v>172</v>
      </c>
      <c r="D21" s="77"/>
      <c r="E21" s="77"/>
      <c r="F21" s="77"/>
      <c r="G21" s="77"/>
      <c r="H21" s="77"/>
      <c r="I21" s="77"/>
      <c r="J21" s="77"/>
      <c r="K21" s="77"/>
      <c r="L21" s="77"/>
      <c r="M21" s="77"/>
      <c r="N21" s="77"/>
      <c r="O21" s="77"/>
      <c r="P21" s="77"/>
      <c r="Q21" s="77"/>
      <c r="R21" s="77"/>
      <c r="S21" s="77"/>
      <c r="T21" s="77"/>
      <c r="U21" s="100">
        <f t="shared" si="0"/>
        <v>0</v>
      </c>
    </row>
    <row r="22" spans="1:21" s="79" customFormat="1">
      <c r="A22" s="86" t="s">
        <v>0</v>
      </c>
      <c r="B22" s="80" t="s">
        <v>80</v>
      </c>
      <c r="C22" s="80" t="s">
        <v>173</v>
      </c>
      <c r="D22" s="80">
        <v>1280</v>
      </c>
      <c r="E22" s="80">
        <v>0.33</v>
      </c>
      <c r="F22" s="80">
        <v>422.40000000000003</v>
      </c>
      <c r="G22" s="85">
        <v>142</v>
      </c>
      <c r="H22" s="85">
        <v>138</v>
      </c>
      <c r="I22" s="85">
        <v>175</v>
      </c>
      <c r="J22" s="80"/>
      <c r="K22" s="80"/>
      <c r="L22" s="80"/>
      <c r="M22" s="80"/>
      <c r="N22" s="80"/>
      <c r="O22" s="80"/>
      <c r="P22" s="80"/>
      <c r="Q22" s="80"/>
      <c r="R22" s="80"/>
      <c r="S22" s="77">
        <f>SUM(G22:R22)</f>
        <v>455</v>
      </c>
      <c r="T22" s="84">
        <f>S22/F22</f>
        <v>1.0771780303030303</v>
      </c>
      <c r="U22" s="100">
        <f t="shared" si="0"/>
        <v>1.0771780303030303</v>
      </c>
    </row>
    <row r="23" spans="1:21" s="79" customFormat="1">
      <c r="A23" s="86" t="s">
        <v>0</v>
      </c>
      <c r="B23" s="80" t="s">
        <v>81</v>
      </c>
      <c r="C23" s="80" t="s">
        <v>173</v>
      </c>
      <c r="D23" s="80">
        <v>1280</v>
      </c>
      <c r="E23" s="88">
        <v>0.1</v>
      </c>
      <c r="F23" s="80">
        <f>D23*E23</f>
        <v>128</v>
      </c>
      <c r="G23" s="80">
        <v>0</v>
      </c>
      <c r="H23" s="80">
        <v>0</v>
      </c>
      <c r="I23" s="80">
        <v>3</v>
      </c>
      <c r="J23" s="80"/>
      <c r="K23" s="80"/>
      <c r="L23" s="80"/>
      <c r="M23" s="80"/>
      <c r="N23" s="80"/>
      <c r="O23" s="80"/>
      <c r="P23" s="80"/>
      <c r="Q23" s="80"/>
      <c r="R23" s="80"/>
      <c r="S23" s="77">
        <f>SUM(G23:R23)</f>
        <v>3</v>
      </c>
      <c r="T23" s="96">
        <f>S23/S22</f>
        <v>6.5934065934065934E-3</v>
      </c>
      <c r="U23" s="100">
        <f t="shared" si="0"/>
        <v>6.5934065934065934E-3</v>
      </c>
    </row>
    <row r="24" spans="1:21" s="79" customFormat="1">
      <c r="A24" s="86" t="s">
        <v>0</v>
      </c>
      <c r="B24" s="80" t="s">
        <v>82</v>
      </c>
      <c r="C24" s="80" t="s">
        <v>173</v>
      </c>
      <c r="D24" s="80">
        <v>9805</v>
      </c>
      <c r="E24" s="80">
        <v>0.2</v>
      </c>
      <c r="F24" s="80">
        <v>1961</v>
      </c>
      <c r="G24" s="80">
        <v>5</v>
      </c>
      <c r="H24" s="80">
        <v>0</v>
      </c>
      <c r="I24" s="80">
        <v>1</v>
      </c>
      <c r="J24" s="80"/>
      <c r="K24" s="80"/>
      <c r="L24" s="80"/>
      <c r="M24" s="80"/>
      <c r="N24" s="80"/>
      <c r="O24" s="80"/>
      <c r="P24" s="80"/>
      <c r="Q24" s="80"/>
      <c r="R24" s="80"/>
      <c r="S24" s="77">
        <f>SUM(G24:R24)</f>
        <v>6</v>
      </c>
      <c r="T24" s="96">
        <f>S24/F24</f>
        <v>3.0596634370219276E-3</v>
      </c>
      <c r="U24" s="100">
        <f t="shared" si="0"/>
        <v>3.0596634370219276E-3</v>
      </c>
    </row>
    <row r="25" spans="1:21" s="79" customFormat="1">
      <c r="A25" s="86" t="s">
        <v>0</v>
      </c>
      <c r="B25" s="80" t="s">
        <v>83</v>
      </c>
      <c r="C25" s="80" t="s">
        <v>173</v>
      </c>
      <c r="D25" s="80">
        <v>9805</v>
      </c>
      <c r="E25" s="77">
        <v>0.15</v>
      </c>
      <c r="F25" s="80">
        <f>F24*E25</f>
        <v>294.14999999999998</v>
      </c>
      <c r="G25" s="80">
        <v>0</v>
      </c>
      <c r="H25" s="80">
        <v>0</v>
      </c>
      <c r="I25" s="80">
        <v>0</v>
      </c>
      <c r="J25" s="80"/>
      <c r="K25" s="80"/>
      <c r="L25" s="80"/>
      <c r="M25" s="80"/>
      <c r="N25" s="80"/>
      <c r="O25" s="80"/>
      <c r="P25" s="80"/>
      <c r="Q25" s="80"/>
      <c r="R25" s="80"/>
      <c r="S25" s="77">
        <f>SUM(G25:R25)</f>
        <v>0</v>
      </c>
      <c r="T25" s="98">
        <f>S25/S24</f>
        <v>0</v>
      </c>
      <c r="U25" s="100">
        <f t="shared" si="0"/>
        <v>0</v>
      </c>
    </row>
    <row r="26" spans="1:21" s="79" customFormat="1">
      <c r="A26" s="86" t="s">
        <v>0</v>
      </c>
      <c r="B26" s="80" t="s">
        <v>84</v>
      </c>
      <c r="C26" s="80" t="s">
        <v>173</v>
      </c>
      <c r="D26" s="80">
        <v>1280</v>
      </c>
      <c r="E26" s="97">
        <v>0.5</v>
      </c>
      <c r="F26" s="80">
        <v>1</v>
      </c>
      <c r="G26" s="80">
        <v>0</v>
      </c>
      <c r="H26" s="80">
        <v>0</v>
      </c>
      <c r="I26" s="80">
        <v>0</v>
      </c>
      <c r="J26" s="80"/>
      <c r="K26" s="80"/>
      <c r="L26" s="80"/>
      <c r="M26" s="80"/>
      <c r="N26" s="80"/>
      <c r="O26" s="80"/>
      <c r="P26" s="80"/>
      <c r="Q26" s="80"/>
      <c r="R26" s="80"/>
      <c r="S26" s="77">
        <f>SUM(G26:R26)</f>
        <v>0</v>
      </c>
      <c r="T26" s="85">
        <f>S26/S23</f>
        <v>0</v>
      </c>
      <c r="U26" s="100">
        <f t="shared" si="0"/>
        <v>0</v>
      </c>
    </row>
    <row r="27" spans="1:21" s="79" customFormat="1">
      <c r="A27" s="86" t="s">
        <v>12</v>
      </c>
      <c r="B27" s="80" t="s">
        <v>85</v>
      </c>
      <c r="C27" s="80" t="s">
        <v>173</v>
      </c>
      <c r="D27" s="80">
        <v>7151</v>
      </c>
      <c r="E27" s="80">
        <v>1</v>
      </c>
      <c r="F27" s="80">
        <v>7151</v>
      </c>
      <c r="G27" s="80">
        <v>16</v>
      </c>
      <c r="H27" s="80">
        <v>11</v>
      </c>
      <c r="I27" s="80">
        <v>8</v>
      </c>
      <c r="J27" s="80"/>
      <c r="K27" s="80"/>
      <c r="L27" s="80"/>
      <c r="M27" s="80"/>
      <c r="N27" s="80"/>
      <c r="O27" s="80"/>
      <c r="P27" s="80"/>
      <c r="Q27" s="80"/>
      <c r="R27" s="80"/>
      <c r="S27" s="77">
        <f>SUM(G27:R27)</f>
        <v>35</v>
      </c>
      <c r="T27" s="84">
        <f>S27/F27</f>
        <v>4.894420360788701E-3</v>
      </c>
      <c r="U27" s="100">
        <f t="shared" si="0"/>
        <v>4.894420360788701E-3</v>
      </c>
    </row>
    <row r="28" spans="1:21" s="79" customFormat="1">
      <c r="A28" s="86" t="s">
        <v>12</v>
      </c>
      <c r="B28" s="80" t="s">
        <v>86</v>
      </c>
      <c r="C28" s="80" t="s">
        <v>173</v>
      </c>
      <c r="D28" s="80">
        <v>3910</v>
      </c>
      <c r="E28" s="80">
        <v>0.5</v>
      </c>
      <c r="F28" s="80">
        <v>1955</v>
      </c>
      <c r="G28" s="80">
        <v>74</v>
      </c>
      <c r="H28" s="80">
        <v>78</v>
      </c>
      <c r="I28" s="80">
        <v>128</v>
      </c>
      <c r="J28" s="80"/>
      <c r="K28" s="80"/>
      <c r="L28" s="80"/>
      <c r="M28" s="80"/>
      <c r="N28" s="80"/>
      <c r="O28" s="80"/>
      <c r="P28" s="80"/>
      <c r="Q28" s="80"/>
      <c r="R28" s="80"/>
      <c r="S28" s="77">
        <f>SUM(G28:R28)</f>
        <v>280</v>
      </c>
      <c r="T28" s="84">
        <f>S28/F28</f>
        <v>0.14322250639386189</v>
      </c>
      <c r="U28" s="100">
        <f t="shared" si="0"/>
        <v>0.14322250639386189</v>
      </c>
    </row>
    <row r="29" spans="1:21" s="79" customFormat="1">
      <c r="A29" s="86" t="s">
        <v>12</v>
      </c>
      <c r="B29" s="80" t="s">
        <v>87</v>
      </c>
      <c r="C29" s="80" t="s">
        <v>173</v>
      </c>
      <c r="D29" s="80">
        <v>3910</v>
      </c>
      <c r="E29" s="77">
        <v>0.01</v>
      </c>
      <c r="F29" s="80">
        <f>F28*E29</f>
        <v>19.55</v>
      </c>
      <c r="G29" s="80">
        <v>0</v>
      </c>
      <c r="H29" s="80">
        <v>1</v>
      </c>
      <c r="I29" s="80">
        <v>0</v>
      </c>
      <c r="J29" s="80"/>
      <c r="K29" s="80"/>
      <c r="L29" s="80"/>
      <c r="M29" s="80"/>
      <c r="N29" s="80"/>
      <c r="O29" s="80"/>
      <c r="P29" s="80"/>
      <c r="Q29" s="80"/>
      <c r="R29" s="80"/>
      <c r="S29" s="77">
        <f t="shared" ref="S29:S35" si="3">SUM(G29:R29)</f>
        <v>1</v>
      </c>
      <c r="T29" s="91">
        <f>S29/S28</f>
        <v>3.5714285714285713E-3</v>
      </c>
      <c r="U29" s="100">
        <f t="shared" si="0"/>
        <v>3.5714285714285713E-3</v>
      </c>
    </row>
    <row r="30" spans="1:21" s="79" customFormat="1">
      <c r="A30" s="86" t="s">
        <v>12</v>
      </c>
      <c r="B30" s="80" t="s">
        <v>88</v>
      </c>
      <c r="C30" s="80" t="s">
        <v>173</v>
      </c>
      <c r="D30" s="80">
        <v>3910</v>
      </c>
      <c r="E30" s="80">
        <v>0.01</v>
      </c>
      <c r="F30" s="80">
        <v>19.55</v>
      </c>
      <c r="G30" s="80">
        <v>0</v>
      </c>
      <c r="H30" s="80">
        <v>0</v>
      </c>
      <c r="I30" s="80">
        <v>0</v>
      </c>
      <c r="J30" s="80"/>
      <c r="K30" s="80"/>
      <c r="L30" s="80"/>
      <c r="M30" s="80"/>
      <c r="N30" s="80"/>
      <c r="O30" s="80"/>
      <c r="P30" s="80"/>
      <c r="Q30" s="80"/>
      <c r="R30" s="80"/>
      <c r="S30" s="77">
        <f t="shared" si="3"/>
        <v>0</v>
      </c>
      <c r="T30" s="80">
        <f>S30/S29</f>
        <v>0</v>
      </c>
      <c r="U30" s="100">
        <f t="shared" si="0"/>
        <v>0</v>
      </c>
    </row>
    <row r="31" spans="1:21" s="79" customFormat="1">
      <c r="A31" s="79" t="s">
        <v>13</v>
      </c>
      <c r="B31" s="80" t="s">
        <v>89</v>
      </c>
      <c r="C31" s="80" t="s">
        <v>173</v>
      </c>
      <c r="D31" s="80">
        <v>4071</v>
      </c>
      <c r="E31" s="80">
        <v>0.2</v>
      </c>
      <c r="F31" s="80">
        <v>814.2</v>
      </c>
      <c r="G31" s="80">
        <v>97</v>
      </c>
      <c r="H31" s="80">
        <v>94</v>
      </c>
      <c r="I31" s="80"/>
      <c r="J31" s="80"/>
      <c r="K31" s="80"/>
      <c r="L31" s="80"/>
      <c r="M31" s="80"/>
      <c r="N31" s="80"/>
      <c r="O31" s="80"/>
      <c r="P31" s="80"/>
      <c r="Q31" s="80"/>
      <c r="R31" s="80"/>
      <c r="S31" s="77">
        <f t="shared" si="3"/>
        <v>191</v>
      </c>
      <c r="T31" s="84">
        <f t="shared" ref="T31:T35" si="4">S31/F31</f>
        <v>0.23458609678211739</v>
      </c>
      <c r="U31" s="100">
        <f t="shared" si="0"/>
        <v>0.23458609678211739</v>
      </c>
    </row>
    <row r="32" spans="1:21" s="79" customFormat="1">
      <c r="A32" s="79" t="s">
        <v>13</v>
      </c>
      <c r="B32" s="80" t="s">
        <v>90</v>
      </c>
      <c r="C32" s="80" t="s">
        <v>173</v>
      </c>
      <c r="D32" s="80">
        <v>4071</v>
      </c>
      <c r="E32" s="80">
        <v>0.2</v>
      </c>
      <c r="F32" s="80">
        <v>814.2</v>
      </c>
      <c r="G32" s="80">
        <v>96</v>
      </c>
      <c r="H32" s="80">
        <v>90</v>
      </c>
      <c r="I32" s="80"/>
      <c r="J32" s="80"/>
      <c r="K32" s="80"/>
      <c r="L32" s="80"/>
      <c r="M32" s="80"/>
      <c r="N32" s="80"/>
      <c r="O32" s="80"/>
      <c r="P32" s="80"/>
      <c r="Q32" s="80"/>
      <c r="R32" s="80"/>
      <c r="S32" s="77">
        <f t="shared" si="3"/>
        <v>186</v>
      </c>
      <c r="T32" s="84">
        <f t="shared" si="4"/>
        <v>0.22844509948415623</v>
      </c>
      <c r="U32" s="100">
        <f t="shared" si="0"/>
        <v>0.22844509948415623</v>
      </c>
    </row>
    <row r="33" spans="1:21" s="79" customFormat="1">
      <c r="A33" s="79" t="s">
        <v>13</v>
      </c>
      <c r="B33" s="80" t="s">
        <v>91</v>
      </c>
      <c r="C33" s="80" t="s">
        <v>173</v>
      </c>
      <c r="D33" s="80">
        <v>4071</v>
      </c>
      <c r="E33" s="80">
        <v>0.2</v>
      </c>
      <c r="F33" s="80">
        <v>814.2</v>
      </c>
      <c r="G33" s="80">
        <v>16</v>
      </c>
      <c r="H33" s="80">
        <v>18</v>
      </c>
      <c r="I33" s="80">
        <v>0</v>
      </c>
      <c r="J33" s="80"/>
      <c r="K33" s="80"/>
      <c r="L33" s="80"/>
      <c r="M33" s="80"/>
      <c r="N33" s="80"/>
      <c r="O33" s="80"/>
      <c r="P33" s="80"/>
      <c r="Q33" s="80"/>
      <c r="R33" s="80"/>
      <c r="S33" s="77">
        <f t="shared" si="3"/>
        <v>34</v>
      </c>
      <c r="T33" s="84">
        <f t="shared" si="4"/>
        <v>4.1758781626136082E-2</v>
      </c>
      <c r="U33" s="100">
        <f t="shared" si="0"/>
        <v>4.1758781626136082E-2</v>
      </c>
    </row>
    <row r="34" spans="1:21" s="79" customFormat="1">
      <c r="A34" s="86" t="s">
        <v>13</v>
      </c>
      <c r="B34" s="80" t="s">
        <v>104</v>
      </c>
      <c r="C34" s="80" t="s">
        <v>173</v>
      </c>
      <c r="D34" s="80">
        <v>4071</v>
      </c>
      <c r="E34" s="77">
        <v>0.1</v>
      </c>
      <c r="F34" s="77">
        <f t="shared" ref="F34:F35" si="5">E34*D34</f>
        <v>407.1</v>
      </c>
      <c r="G34" s="80">
        <v>1</v>
      </c>
      <c r="H34" s="80">
        <v>4</v>
      </c>
      <c r="I34" s="80"/>
      <c r="J34" s="80"/>
      <c r="K34" s="80"/>
      <c r="L34" s="80"/>
      <c r="M34" s="80"/>
      <c r="N34" s="80"/>
      <c r="O34" s="80"/>
      <c r="P34" s="80"/>
      <c r="Q34" s="80"/>
      <c r="R34" s="80"/>
      <c r="S34" s="77">
        <f t="shared" si="3"/>
        <v>5</v>
      </c>
      <c r="T34" s="84">
        <f>S34/S32</f>
        <v>2.6881720430107527E-2</v>
      </c>
      <c r="U34" s="100">
        <f t="shared" si="0"/>
        <v>2.6881720430107527E-2</v>
      </c>
    </row>
    <row r="35" spans="1:21" s="79" customFormat="1">
      <c r="A35" s="86" t="s">
        <v>13</v>
      </c>
      <c r="B35" s="80" t="s">
        <v>93</v>
      </c>
      <c r="C35" s="80" t="s">
        <v>173</v>
      </c>
      <c r="D35" s="80">
        <v>4071</v>
      </c>
      <c r="E35" s="77">
        <v>0.1</v>
      </c>
      <c r="F35" s="77">
        <f t="shared" si="5"/>
        <v>407.1</v>
      </c>
      <c r="G35" s="80">
        <v>0</v>
      </c>
      <c r="H35" s="80">
        <v>0</v>
      </c>
      <c r="I35" s="80">
        <v>0</v>
      </c>
      <c r="J35" s="80"/>
      <c r="K35" s="80"/>
      <c r="L35" s="80"/>
      <c r="M35" s="80"/>
      <c r="N35" s="80"/>
      <c r="O35" s="80"/>
      <c r="P35" s="80"/>
      <c r="Q35" s="80"/>
      <c r="R35" s="80"/>
      <c r="S35" s="77">
        <f t="shared" si="3"/>
        <v>0</v>
      </c>
      <c r="T35" s="84">
        <f>S35/S34</f>
        <v>0</v>
      </c>
      <c r="U35" s="100">
        <f t="shared" si="0"/>
        <v>0</v>
      </c>
    </row>
    <row r="36" spans="1:21" s="79" customFormat="1">
      <c r="A36" s="86" t="s">
        <v>14</v>
      </c>
      <c r="B36" s="80" t="s">
        <v>94</v>
      </c>
      <c r="C36" s="80" t="s">
        <v>173</v>
      </c>
      <c r="D36" s="80">
        <v>8571</v>
      </c>
      <c r="E36" s="80">
        <v>0.5</v>
      </c>
      <c r="F36" s="80">
        <v>4285.5</v>
      </c>
      <c r="G36" s="80">
        <v>140</v>
      </c>
      <c r="H36" s="80">
        <v>155</v>
      </c>
      <c r="I36" s="80"/>
      <c r="J36" s="80"/>
      <c r="K36" s="80"/>
      <c r="L36" s="80"/>
      <c r="M36" s="80"/>
      <c r="N36" s="80"/>
      <c r="O36" s="80"/>
      <c r="P36" s="80"/>
      <c r="Q36" s="80"/>
      <c r="R36" s="80"/>
      <c r="S36" s="77">
        <f>SUM(G36:R36)</f>
        <v>295</v>
      </c>
      <c r="T36" s="84">
        <f>S36/F36</f>
        <v>6.8836775172091941E-2</v>
      </c>
      <c r="U36" s="100">
        <f t="shared" si="0"/>
        <v>6.8836775172091941E-2</v>
      </c>
    </row>
    <row r="37" spans="1:21" s="79" customFormat="1">
      <c r="A37" s="86" t="s">
        <v>14</v>
      </c>
      <c r="B37" s="80" t="s">
        <v>95</v>
      </c>
      <c r="C37" s="80" t="s">
        <v>173</v>
      </c>
      <c r="D37" s="80">
        <v>8571</v>
      </c>
      <c r="E37" s="87">
        <v>0.1</v>
      </c>
      <c r="F37" s="80">
        <f>F36*E37</f>
        <v>428.55</v>
      </c>
      <c r="G37" s="80">
        <v>0</v>
      </c>
      <c r="H37" s="80">
        <v>0</v>
      </c>
      <c r="I37" s="80"/>
      <c r="J37" s="80"/>
      <c r="K37" s="80"/>
      <c r="L37" s="80"/>
      <c r="M37" s="80"/>
      <c r="N37" s="80"/>
      <c r="O37" s="80"/>
      <c r="P37" s="80"/>
      <c r="Q37" s="80"/>
      <c r="R37" s="80"/>
      <c r="S37" s="77">
        <f t="shared" ref="S37:S38" si="6">SUM(G37:R37)</f>
        <v>0</v>
      </c>
      <c r="T37" s="90">
        <f>S37/S36</f>
        <v>0</v>
      </c>
      <c r="U37" s="100">
        <f t="shared" si="0"/>
        <v>0</v>
      </c>
    </row>
    <row r="38" spans="1:21" s="79" customFormat="1">
      <c r="A38" s="86" t="s">
        <v>14</v>
      </c>
      <c r="B38" s="80" t="s">
        <v>96</v>
      </c>
      <c r="C38" s="80" t="s">
        <v>173</v>
      </c>
      <c r="D38" s="80">
        <v>8571</v>
      </c>
      <c r="E38" s="87">
        <v>0.1</v>
      </c>
      <c r="F38" s="80">
        <v>428.55</v>
      </c>
      <c r="G38" s="80">
        <v>0</v>
      </c>
      <c r="H38" s="80">
        <v>0</v>
      </c>
      <c r="I38" s="80"/>
      <c r="J38" s="80"/>
      <c r="K38" s="80"/>
      <c r="L38" s="80"/>
      <c r="M38" s="80"/>
      <c r="N38" s="80"/>
      <c r="O38" s="80"/>
      <c r="P38" s="80"/>
      <c r="Q38" s="80"/>
      <c r="R38" s="80"/>
      <c r="S38" s="77">
        <f t="shared" si="6"/>
        <v>0</v>
      </c>
      <c r="T38" s="80" t="e">
        <f>S38/S37</f>
        <v>#DIV/0!</v>
      </c>
      <c r="U38" s="100" t="e">
        <f t="shared" si="0"/>
        <v>#DIV/0!</v>
      </c>
    </row>
    <row r="39" spans="1:21" s="79" customFormat="1">
      <c r="B39" s="80" t="s">
        <v>78</v>
      </c>
      <c r="C39" s="80" t="s">
        <v>173</v>
      </c>
      <c r="D39" s="80"/>
      <c r="E39" s="80"/>
      <c r="F39" s="80"/>
      <c r="G39" s="80"/>
      <c r="H39" s="80"/>
      <c r="I39" s="80"/>
      <c r="J39" s="80"/>
      <c r="K39" s="80"/>
      <c r="L39" s="80"/>
      <c r="M39" s="80"/>
      <c r="N39" s="80"/>
      <c r="O39" s="80"/>
      <c r="P39" s="80"/>
      <c r="Q39" s="80"/>
      <c r="R39" s="80"/>
      <c r="S39" s="80"/>
      <c r="T39" s="80"/>
      <c r="U39" s="100">
        <f t="shared" si="0"/>
        <v>0</v>
      </c>
    </row>
    <row r="40" spans="1:21">
      <c r="A40" s="86" t="s">
        <v>0</v>
      </c>
      <c r="B40" s="81" t="s">
        <v>80</v>
      </c>
      <c r="C40" s="81" t="s">
        <v>174</v>
      </c>
      <c r="D40" s="81">
        <v>432</v>
      </c>
      <c r="E40" s="81">
        <v>0.33</v>
      </c>
      <c r="F40" s="81">
        <v>142.56</v>
      </c>
      <c r="G40" s="81">
        <v>14</v>
      </c>
      <c r="H40" s="81">
        <v>9</v>
      </c>
      <c r="I40" s="81">
        <v>10</v>
      </c>
      <c r="J40" s="81"/>
      <c r="K40" s="81"/>
      <c r="L40" s="81"/>
      <c r="M40" s="81"/>
      <c r="N40" s="81"/>
      <c r="O40" s="81"/>
      <c r="P40" s="81"/>
      <c r="Q40" s="81"/>
      <c r="R40" s="81"/>
      <c r="S40" s="77">
        <f>SUM(G40:R40)</f>
        <v>33</v>
      </c>
      <c r="T40" s="84">
        <f>S40/F40</f>
        <v>0.23148148148148148</v>
      </c>
      <c r="U40" s="100">
        <f t="shared" si="0"/>
        <v>0.23148148148148148</v>
      </c>
    </row>
    <row r="41" spans="1:21">
      <c r="A41" s="86" t="s">
        <v>0</v>
      </c>
      <c r="B41" s="81" t="s">
        <v>81</v>
      </c>
      <c r="C41" s="81" t="s">
        <v>174</v>
      </c>
      <c r="D41" s="81">
        <v>432</v>
      </c>
      <c r="E41" s="89">
        <v>0.1</v>
      </c>
      <c r="F41" s="81">
        <f>D41*E41</f>
        <v>43.2</v>
      </c>
      <c r="G41" s="81">
        <v>2</v>
      </c>
      <c r="H41" s="81">
        <v>2</v>
      </c>
      <c r="I41" s="81">
        <v>0</v>
      </c>
      <c r="J41" s="81"/>
      <c r="K41" s="81"/>
      <c r="L41" s="81"/>
      <c r="M41" s="81"/>
      <c r="N41" s="81"/>
      <c r="O41" s="81"/>
      <c r="P41" s="81"/>
      <c r="Q41" s="81"/>
      <c r="R41" s="81"/>
      <c r="S41" s="77">
        <f>SUM(G41:R41)</f>
        <v>4</v>
      </c>
      <c r="T41" s="93">
        <f>S41/S40</f>
        <v>0.12121212121212122</v>
      </c>
      <c r="U41" s="100">
        <f t="shared" si="0"/>
        <v>0.12121212121212122</v>
      </c>
    </row>
    <row r="42" spans="1:21">
      <c r="A42" s="86" t="s">
        <v>0</v>
      </c>
      <c r="B42" s="81" t="s">
        <v>82</v>
      </c>
      <c r="C42" s="81" t="s">
        <v>174</v>
      </c>
      <c r="D42" s="81">
        <v>2598</v>
      </c>
      <c r="E42" s="81">
        <v>0.2</v>
      </c>
      <c r="F42" s="81">
        <v>519.6</v>
      </c>
      <c r="G42" s="85">
        <v>39</v>
      </c>
      <c r="H42" s="81">
        <v>7</v>
      </c>
      <c r="I42" s="81">
        <v>7</v>
      </c>
      <c r="J42" s="81"/>
      <c r="K42" s="81"/>
      <c r="L42" s="81"/>
      <c r="M42" s="81"/>
      <c r="N42" s="81"/>
      <c r="O42" s="81"/>
      <c r="P42" s="81"/>
      <c r="Q42" s="81"/>
      <c r="R42" s="81"/>
      <c r="S42" s="77">
        <f>SUM(G42:R42)</f>
        <v>53</v>
      </c>
      <c r="T42" s="98">
        <f>S42/F42</f>
        <v>0.10200153964588145</v>
      </c>
      <c r="U42" s="100">
        <f t="shared" si="0"/>
        <v>0.10200153964588145</v>
      </c>
    </row>
    <row r="43" spans="1:21">
      <c r="A43" s="86" t="s">
        <v>0</v>
      </c>
      <c r="B43" s="81" t="s">
        <v>83</v>
      </c>
      <c r="C43" s="81" t="s">
        <v>174</v>
      </c>
      <c r="D43" s="81">
        <v>2598</v>
      </c>
      <c r="E43" s="77">
        <v>0.15</v>
      </c>
      <c r="F43" s="81">
        <f>F42*E43</f>
        <v>77.94</v>
      </c>
      <c r="G43" s="81">
        <v>2</v>
      </c>
      <c r="H43" s="81">
        <v>0</v>
      </c>
      <c r="I43" s="81">
        <v>0</v>
      </c>
      <c r="J43" s="81"/>
      <c r="K43" s="81"/>
      <c r="L43" s="81"/>
      <c r="M43" s="81"/>
      <c r="N43" s="81"/>
      <c r="O43" s="81"/>
      <c r="P43" s="81"/>
      <c r="Q43" s="81"/>
      <c r="R43" s="81"/>
      <c r="S43" s="77">
        <f>SUM(G43:R43)</f>
        <v>2</v>
      </c>
      <c r="T43" s="98">
        <f>S43/S42</f>
        <v>3.7735849056603772E-2</v>
      </c>
      <c r="U43" s="100">
        <f t="shared" si="0"/>
        <v>3.7735849056603772E-2</v>
      </c>
    </row>
    <row r="44" spans="1:21">
      <c r="A44" s="86" t="s">
        <v>0</v>
      </c>
      <c r="B44" s="81" t="s">
        <v>84</v>
      </c>
      <c r="C44" s="81" t="s">
        <v>174</v>
      </c>
      <c r="D44" s="81">
        <v>432</v>
      </c>
      <c r="E44" s="97">
        <v>0.5</v>
      </c>
      <c r="F44" s="81">
        <v>1</v>
      </c>
      <c r="G44" s="81">
        <v>1</v>
      </c>
      <c r="H44" s="81">
        <v>0</v>
      </c>
      <c r="I44" s="81">
        <v>0</v>
      </c>
      <c r="J44" s="81"/>
      <c r="K44" s="81"/>
      <c r="L44" s="81"/>
      <c r="M44" s="81"/>
      <c r="N44" s="81"/>
      <c r="O44" s="81"/>
      <c r="P44" s="81"/>
      <c r="Q44" s="81"/>
      <c r="R44" s="81"/>
      <c r="S44" s="77">
        <f>SUM(G44:R44)</f>
        <v>1</v>
      </c>
      <c r="T44" s="98">
        <f>S44/S41</f>
        <v>0.25</v>
      </c>
      <c r="U44" s="100">
        <f t="shared" si="0"/>
        <v>0.25</v>
      </c>
    </row>
    <row r="45" spans="1:21">
      <c r="A45" s="86" t="s">
        <v>12</v>
      </c>
      <c r="B45" s="81" t="s">
        <v>85</v>
      </c>
      <c r="C45" s="81" t="s">
        <v>174</v>
      </c>
      <c r="D45" s="81">
        <v>1922</v>
      </c>
      <c r="E45" s="81">
        <v>1</v>
      </c>
      <c r="F45" s="81">
        <v>1922</v>
      </c>
      <c r="G45" s="81">
        <v>24</v>
      </c>
      <c r="H45" s="81">
        <v>64</v>
      </c>
      <c r="I45" s="81">
        <v>30</v>
      </c>
      <c r="J45" s="81"/>
      <c r="K45" s="81"/>
      <c r="L45" s="81"/>
      <c r="M45" s="81"/>
      <c r="N45" s="81"/>
      <c r="O45" s="81"/>
      <c r="P45" s="81"/>
      <c r="Q45" s="81"/>
      <c r="R45" s="81"/>
      <c r="S45" s="77">
        <f>SUM(G45:R45)</f>
        <v>118</v>
      </c>
      <c r="T45" s="84">
        <f>S45/F45</f>
        <v>6.1394380853277836E-2</v>
      </c>
      <c r="U45" s="100">
        <f t="shared" si="0"/>
        <v>6.1394380853277836E-2</v>
      </c>
    </row>
    <row r="46" spans="1:21">
      <c r="A46" s="86" t="s">
        <v>12</v>
      </c>
      <c r="B46" s="81" t="s">
        <v>86</v>
      </c>
      <c r="C46" s="81" t="s">
        <v>174</v>
      </c>
      <c r="D46" s="81">
        <v>1075</v>
      </c>
      <c r="E46" s="81">
        <v>0.5</v>
      </c>
      <c r="F46" s="81">
        <v>537.5</v>
      </c>
      <c r="G46" s="81">
        <v>15</v>
      </c>
      <c r="H46" s="81">
        <v>8</v>
      </c>
      <c r="I46" s="81">
        <v>20</v>
      </c>
      <c r="J46" s="81"/>
      <c r="K46" s="81"/>
      <c r="L46" s="81"/>
      <c r="M46" s="81"/>
      <c r="N46" s="81"/>
      <c r="O46" s="81"/>
      <c r="P46" s="81"/>
      <c r="Q46" s="81"/>
      <c r="R46" s="81"/>
      <c r="S46" s="77">
        <f>SUM(G46:R46)</f>
        <v>43</v>
      </c>
      <c r="T46" s="84">
        <f>S46/F46</f>
        <v>0.08</v>
      </c>
      <c r="U46" s="100">
        <f t="shared" si="0"/>
        <v>0.08</v>
      </c>
    </row>
    <row r="47" spans="1:21">
      <c r="A47" s="86" t="s">
        <v>12</v>
      </c>
      <c r="B47" s="81" t="s">
        <v>87</v>
      </c>
      <c r="C47" s="81" t="s">
        <v>174</v>
      </c>
      <c r="D47" s="81">
        <v>1075</v>
      </c>
      <c r="E47" s="77">
        <v>0.01</v>
      </c>
      <c r="F47" s="81">
        <f>F46*E47</f>
        <v>5.375</v>
      </c>
      <c r="G47" s="81">
        <v>0</v>
      </c>
      <c r="H47" s="81">
        <v>0</v>
      </c>
      <c r="I47" s="81">
        <v>0</v>
      </c>
      <c r="J47" s="81"/>
      <c r="K47" s="81"/>
      <c r="L47" s="81"/>
      <c r="M47" s="81"/>
      <c r="N47" s="81"/>
      <c r="O47" s="81"/>
      <c r="P47" s="81"/>
      <c r="Q47" s="81"/>
      <c r="R47" s="81"/>
      <c r="S47" s="77">
        <f t="shared" ref="S47:S53" si="7">SUM(G47:R47)</f>
        <v>0</v>
      </c>
      <c r="T47" s="101">
        <f>S47/S46</f>
        <v>0</v>
      </c>
      <c r="U47" s="100">
        <f t="shared" si="0"/>
        <v>0</v>
      </c>
    </row>
    <row r="48" spans="1:21">
      <c r="A48" s="86" t="s">
        <v>12</v>
      </c>
      <c r="B48" s="81" t="s">
        <v>88</v>
      </c>
      <c r="C48" s="81" t="s">
        <v>174</v>
      </c>
      <c r="D48" s="81">
        <v>1075</v>
      </c>
      <c r="E48" s="81">
        <v>0.01</v>
      </c>
      <c r="F48" s="81">
        <v>5.375</v>
      </c>
      <c r="G48" s="81">
        <v>0</v>
      </c>
      <c r="H48" s="81">
        <v>0</v>
      </c>
      <c r="I48" s="81">
        <v>0</v>
      </c>
      <c r="J48" s="81"/>
      <c r="K48" s="81"/>
      <c r="L48" s="81"/>
      <c r="M48" s="81"/>
      <c r="N48" s="81"/>
      <c r="O48" s="81"/>
      <c r="P48" s="81"/>
      <c r="Q48" s="81"/>
      <c r="R48" s="81"/>
      <c r="S48" s="77">
        <f t="shared" si="7"/>
        <v>0</v>
      </c>
      <c r="T48" s="81" t="e">
        <f>S48/S47</f>
        <v>#DIV/0!</v>
      </c>
      <c r="U48" s="100" t="e">
        <f t="shared" si="0"/>
        <v>#DIV/0!</v>
      </c>
    </row>
    <row r="49" spans="1:21">
      <c r="A49" t="s">
        <v>13</v>
      </c>
      <c r="B49" s="81" t="s">
        <v>89</v>
      </c>
      <c r="C49" s="81" t="s">
        <v>174</v>
      </c>
      <c r="D49" s="81">
        <v>949</v>
      </c>
      <c r="E49" s="81">
        <v>0.2</v>
      </c>
      <c r="F49" s="81">
        <v>189.8</v>
      </c>
      <c r="G49" s="81">
        <v>22</v>
      </c>
      <c r="H49" s="81">
        <v>15</v>
      </c>
      <c r="I49" s="81">
        <v>8</v>
      </c>
      <c r="J49" s="81"/>
      <c r="K49" s="81"/>
      <c r="L49" s="81"/>
      <c r="M49" s="81"/>
      <c r="N49" s="81"/>
      <c r="O49" s="81"/>
      <c r="P49" s="81"/>
      <c r="Q49" s="81"/>
      <c r="R49" s="81"/>
      <c r="S49" s="77">
        <f t="shared" si="7"/>
        <v>45</v>
      </c>
      <c r="T49" s="84">
        <f t="shared" ref="T49:T53" si="8">S49/F49</f>
        <v>0.23709167544783982</v>
      </c>
      <c r="U49" s="100">
        <f t="shared" si="0"/>
        <v>0.23709167544783982</v>
      </c>
    </row>
    <row r="50" spans="1:21">
      <c r="A50" t="s">
        <v>13</v>
      </c>
      <c r="B50" s="81" t="s">
        <v>90</v>
      </c>
      <c r="C50" s="81" t="s">
        <v>174</v>
      </c>
      <c r="D50" s="81">
        <v>949</v>
      </c>
      <c r="E50" s="81">
        <v>0.2</v>
      </c>
      <c r="F50" s="81">
        <v>189.8</v>
      </c>
      <c r="G50" s="81">
        <v>6</v>
      </c>
      <c r="H50" s="81">
        <v>10</v>
      </c>
      <c r="I50" s="81">
        <v>13</v>
      </c>
      <c r="J50" s="81"/>
      <c r="K50" s="81"/>
      <c r="L50" s="81"/>
      <c r="M50" s="81"/>
      <c r="N50" s="81"/>
      <c r="O50" s="81"/>
      <c r="P50" s="81"/>
      <c r="Q50" s="81"/>
      <c r="R50" s="81"/>
      <c r="S50" s="77">
        <f t="shared" si="7"/>
        <v>29</v>
      </c>
      <c r="T50" s="84">
        <f t="shared" si="8"/>
        <v>0.15279241306638566</v>
      </c>
      <c r="U50" s="100">
        <f t="shared" si="0"/>
        <v>0.15279241306638566</v>
      </c>
    </row>
    <row r="51" spans="1:21">
      <c r="A51" t="s">
        <v>13</v>
      </c>
      <c r="B51" s="81" t="s">
        <v>91</v>
      </c>
      <c r="C51" s="81" t="s">
        <v>174</v>
      </c>
      <c r="D51" s="81">
        <v>949</v>
      </c>
      <c r="E51" s="81">
        <v>0.2</v>
      </c>
      <c r="F51" s="81">
        <v>189.8</v>
      </c>
      <c r="G51" s="81">
        <v>4</v>
      </c>
      <c r="H51" s="81">
        <v>1</v>
      </c>
      <c r="I51" s="81">
        <v>1</v>
      </c>
      <c r="J51" s="81"/>
      <c r="K51" s="81"/>
      <c r="L51" s="81"/>
      <c r="M51" s="81"/>
      <c r="N51" s="81"/>
      <c r="O51" s="81"/>
      <c r="P51" s="81"/>
      <c r="Q51" s="81"/>
      <c r="R51" s="81"/>
      <c r="S51" s="77">
        <f t="shared" si="7"/>
        <v>6</v>
      </c>
      <c r="T51" s="84">
        <f t="shared" si="8"/>
        <v>3.1612223393045306E-2</v>
      </c>
      <c r="U51" s="100">
        <f t="shared" si="0"/>
        <v>3.1612223393045306E-2</v>
      </c>
    </row>
    <row r="52" spans="1:21">
      <c r="A52" s="86" t="s">
        <v>13</v>
      </c>
      <c r="B52" s="81" t="s">
        <v>104</v>
      </c>
      <c r="C52" s="81" t="s">
        <v>174</v>
      </c>
      <c r="D52" s="81">
        <v>949</v>
      </c>
      <c r="E52" s="77">
        <v>0.1</v>
      </c>
      <c r="F52" s="77">
        <f t="shared" ref="F52:F53" si="9">E52*D52</f>
        <v>94.9</v>
      </c>
      <c r="G52" s="81">
        <v>0</v>
      </c>
      <c r="H52" s="81">
        <v>0</v>
      </c>
      <c r="I52" s="81">
        <v>1</v>
      </c>
      <c r="J52" s="81"/>
      <c r="K52" s="81"/>
      <c r="L52" s="81"/>
      <c r="M52" s="81"/>
      <c r="N52" s="81"/>
      <c r="O52" s="81"/>
      <c r="P52" s="81"/>
      <c r="Q52" s="81"/>
      <c r="R52" s="81"/>
      <c r="S52" s="77">
        <f t="shared" si="7"/>
        <v>1</v>
      </c>
      <c r="T52" s="84">
        <f>S52/S50</f>
        <v>3.4482758620689655E-2</v>
      </c>
      <c r="U52" s="100">
        <f t="shared" si="0"/>
        <v>3.4482758620689655E-2</v>
      </c>
    </row>
    <row r="53" spans="1:21">
      <c r="A53" s="86" t="s">
        <v>13</v>
      </c>
      <c r="B53" s="81" t="s">
        <v>93</v>
      </c>
      <c r="C53" s="81" t="s">
        <v>174</v>
      </c>
      <c r="D53" s="81">
        <v>949</v>
      </c>
      <c r="E53" s="77">
        <v>0.1</v>
      </c>
      <c r="F53" s="77">
        <f t="shared" si="9"/>
        <v>94.9</v>
      </c>
      <c r="G53" s="81">
        <v>0</v>
      </c>
      <c r="H53" s="81">
        <v>0</v>
      </c>
      <c r="I53" s="81">
        <v>0</v>
      </c>
      <c r="J53" s="81"/>
      <c r="K53" s="81"/>
      <c r="L53" s="81"/>
      <c r="M53" s="81"/>
      <c r="N53" s="81"/>
      <c r="O53" s="81"/>
      <c r="P53" s="81"/>
      <c r="Q53" s="81"/>
      <c r="R53" s="81"/>
      <c r="S53" s="77">
        <f t="shared" si="7"/>
        <v>0</v>
      </c>
      <c r="T53" s="84">
        <f>S53/S52</f>
        <v>0</v>
      </c>
      <c r="U53" s="100">
        <f t="shared" si="0"/>
        <v>0</v>
      </c>
    </row>
    <row r="54" spans="1:21">
      <c r="A54" s="86" t="s">
        <v>14</v>
      </c>
      <c r="B54" s="81" t="s">
        <v>94</v>
      </c>
      <c r="C54" s="81" t="s">
        <v>174</v>
      </c>
      <c r="D54" s="81">
        <v>2175</v>
      </c>
      <c r="E54" s="81">
        <v>0.5</v>
      </c>
      <c r="F54" s="81">
        <v>1087.5</v>
      </c>
      <c r="G54" s="81">
        <v>16</v>
      </c>
      <c r="H54" s="81">
        <v>11</v>
      </c>
      <c r="I54" s="81">
        <v>10</v>
      </c>
      <c r="J54" s="81"/>
      <c r="K54" s="81"/>
      <c r="L54" s="81"/>
      <c r="M54" s="81"/>
      <c r="N54" s="81"/>
      <c r="O54" s="81"/>
      <c r="P54" s="81"/>
      <c r="Q54" s="81"/>
      <c r="R54" s="81"/>
      <c r="S54" s="77">
        <f>SUM(G54:R54)</f>
        <v>37</v>
      </c>
      <c r="T54" s="84">
        <f>S54/F54</f>
        <v>3.4022988505747129E-2</v>
      </c>
      <c r="U54" s="100">
        <f t="shared" si="0"/>
        <v>3.4022988505747129E-2</v>
      </c>
    </row>
    <row r="55" spans="1:21">
      <c r="A55" s="86" t="s">
        <v>14</v>
      </c>
      <c r="B55" s="81" t="s">
        <v>95</v>
      </c>
      <c r="C55" s="81" t="s">
        <v>174</v>
      </c>
      <c r="D55" s="81">
        <v>2175</v>
      </c>
      <c r="E55" s="87">
        <v>0.1</v>
      </c>
      <c r="F55" s="81">
        <f>F54*E55</f>
        <v>108.75</v>
      </c>
      <c r="G55" s="81">
        <v>0</v>
      </c>
      <c r="H55" s="81">
        <v>2</v>
      </c>
      <c r="I55" s="81">
        <v>1</v>
      </c>
      <c r="J55" s="81"/>
      <c r="K55" s="81"/>
      <c r="L55" s="81"/>
      <c r="M55" s="81"/>
      <c r="N55" s="81"/>
      <c r="O55" s="81"/>
      <c r="P55" s="81"/>
      <c r="Q55" s="81"/>
      <c r="R55" s="81"/>
      <c r="S55" s="77">
        <f t="shared" ref="S55:S56" si="10">SUM(G55:R55)</f>
        <v>3</v>
      </c>
      <c r="T55" s="93">
        <f>S55/S54</f>
        <v>8.1081081081081086E-2</v>
      </c>
      <c r="U55" s="100">
        <f t="shared" si="0"/>
        <v>8.1081081081081086E-2</v>
      </c>
    </row>
    <row r="56" spans="1:21">
      <c r="A56" s="86" t="s">
        <v>14</v>
      </c>
      <c r="B56" s="81" t="s">
        <v>96</v>
      </c>
      <c r="C56" s="81" t="s">
        <v>174</v>
      </c>
      <c r="D56" s="81">
        <v>2175</v>
      </c>
      <c r="E56" s="87">
        <v>0.1</v>
      </c>
      <c r="F56" s="81">
        <v>108.75</v>
      </c>
      <c r="G56" s="81">
        <v>0</v>
      </c>
      <c r="H56" s="81">
        <v>2</v>
      </c>
      <c r="I56" s="81">
        <v>1</v>
      </c>
      <c r="J56" s="81"/>
      <c r="K56" s="81"/>
      <c r="L56" s="81"/>
      <c r="M56" s="81"/>
      <c r="N56" s="81"/>
      <c r="O56" s="81"/>
      <c r="P56" s="81"/>
      <c r="Q56" s="81"/>
      <c r="R56" s="81"/>
      <c r="S56" s="77">
        <f t="shared" si="10"/>
        <v>3</v>
      </c>
      <c r="T56" s="81">
        <f>S56/S55</f>
        <v>1</v>
      </c>
      <c r="U56" s="100">
        <f t="shared" si="0"/>
        <v>1</v>
      </c>
    </row>
    <row r="57" spans="1:21">
      <c r="B57" s="81" t="s">
        <v>78</v>
      </c>
      <c r="C57" s="81" t="s">
        <v>174</v>
      </c>
      <c r="D57" s="81"/>
      <c r="E57" s="81"/>
      <c r="F57" s="81"/>
      <c r="G57" s="81"/>
      <c r="H57" s="81"/>
      <c r="I57" s="81"/>
      <c r="J57" s="81"/>
      <c r="K57" s="81"/>
      <c r="L57" s="81"/>
      <c r="M57" s="81"/>
      <c r="N57" s="81"/>
      <c r="O57" s="81"/>
      <c r="P57" s="81"/>
      <c r="Q57" s="81"/>
      <c r="R57" s="81"/>
      <c r="S57" s="81"/>
      <c r="T57" s="81"/>
      <c r="U57" s="100">
        <f t="shared" si="0"/>
        <v>0</v>
      </c>
    </row>
    <row r="58" spans="1:21">
      <c r="A58" s="86" t="s">
        <v>0</v>
      </c>
      <c r="B58" s="80" t="s">
        <v>80</v>
      </c>
      <c r="C58" s="80" t="s">
        <v>192</v>
      </c>
      <c r="D58" s="80">
        <v>274</v>
      </c>
      <c r="E58" s="80">
        <v>0.33</v>
      </c>
      <c r="F58" s="80">
        <v>90.42</v>
      </c>
      <c r="G58" s="85">
        <v>93</v>
      </c>
      <c r="H58" s="80">
        <v>34</v>
      </c>
      <c r="I58" s="80">
        <v>39</v>
      </c>
      <c r="J58" s="80">
        <v>6</v>
      </c>
      <c r="K58" s="80"/>
      <c r="L58" s="80"/>
      <c r="M58" s="80"/>
      <c r="N58" s="80"/>
      <c r="O58" s="80"/>
      <c r="P58" s="80"/>
      <c r="Q58" s="80"/>
      <c r="R58" s="80"/>
      <c r="S58" s="77">
        <f>SUM(G58:R58)</f>
        <v>172</v>
      </c>
      <c r="T58" s="98">
        <f>S58/F58</f>
        <v>1.9022340190223401</v>
      </c>
      <c r="U58" s="100">
        <f t="shared" si="0"/>
        <v>1.9022340190223401</v>
      </c>
    </row>
    <row r="59" spans="1:21">
      <c r="A59" s="86" t="s">
        <v>0</v>
      </c>
      <c r="B59" s="80" t="s">
        <v>81</v>
      </c>
      <c r="C59" s="80" t="s">
        <v>192</v>
      </c>
      <c r="D59" s="80">
        <v>274</v>
      </c>
      <c r="E59" s="89">
        <v>0.1</v>
      </c>
      <c r="F59" s="80">
        <f>D59*E59</f>
        <v>27.400000000000002</v>
      </c>
      <c r="G59" s="80">
        <v>0</v>
      </c>
      <c r="H59" s="80">
        <v>0</v>
      </c>
      <c r="I59" s="80">
        <v>0</v>
      </c>
      <c r="J59" s="80">
        <v>0</v>
      </c>
      <c r="K59" s="80"/>
      <c r="L59" s="80"/>
      <c r="M59" s="80"/>
      <c r="N59" s="80"/>
      <c r="O59" s="80"/>
      <c r="P59" s="80"/>
      <c r="Q59" s="80"/>
      <c r="R59" s="80"/>
      <c r="S59" s="77">
        <f>SUM(G59:R59)</f>
        <v>0</v>
      </c>
      <c r="T59" s="85">
        <f>S59/S58</f>
        <v>0</v>
      </c>
      <c r="U59" s="100">
        <f t="shared" si="0"/>
        <v>0</v>
      </c>
    </row>
    <row r="60" spans="1:21">
      <c r="A60" s="86" t="s">
        <v>0</v>
      </c>
      <c r="B60" s="80" t="s">
        <v>82</v>
      </c>
      <c r="C60" s="80" t="s">
        <v>192</v>
      </c>
      <c r="D60" s="80">
        <v>2238</v>
      </c>
      <c r="E60" s="80">
        <v>0.2</v>
      </c>
      <c r="F60" s="80">
        <v>447.6</v>
      </c>
      <c r="G60" s="85">
        <v>36</v>
      </c>
      <c r="H60" s="80">
        <v>10</v>
      </c>
      <c r="I60" s="80">
        <v>28</v>
      </c>
      <c r="J60" s="80">
        <v>13</v>
      </c>
      <c r="K60" s="80"/>
      <c r="L60" s="80"/>
      <c r="M60" s="80"/>
      <c r="N60" s="80"/>
      <c r="O60" s="80"/>
      <c r="P60" s="80"/>
      <c r="Q60" s="80"/>
      <c r="R60" s="80"/>
      <c r="S60" s="77">
        <f>SUM(G60:R60)</f>
        <v>87</v>
      </c>
      <c r="T60" s="84">
        <f>S60/F60</f>
        <v>0.19436997319034852</v>
      </c>
      <c r="U60" s="100">
        <f t="shared" si="0"/>
        <v>0.19436997319034852</v>
      </c>
    </row>
    <row r="61" spans="1:21">
      <c r="A61" s="86" t="s">
        <v>0</v>
      </c>
      <c r="B61" s="80" t="s">
        <v>83</v>
      </c>
      <c r="C61" s="80" t="s">
        <v>192</v>
      </c>
      <c r="D61" s="80">
        <v>2238</v>
      </c>
      <c r="E61" s="77">
        <v>0.15</v>
      </c>
      <c r="F61" s="80">
        <f>F60*E61</f>
        <v>67.14</v>
      </c>
      <c r="G61" s="80">
        <v>0</v>
      </c>
      <c r="H61" s="80">
        <v>1</v>
      </c>
      <c r="I61" s="80">
        <v>1</v>
      </c>
      <c r="J61" s="80">
        <v>0</v>
      </c>
      <c r="K61" s="80"/>
      <c r="L61" s="80"/>
      <c r="M61" s="80"/>
      <c r="N61" s="80"/>
      <c r="O61" s="80"/>
      <c r="P61" s="80"/>
      <c r="Q61" s="80"/>
      <c r="R61" s="80"/>
      <c r="S61" s="77">
        <f>SUM(G61:R61)</f>
        <v>2</v>
      </c>
      <c r="T61" s="90">
        <f>S61/S60</f>
        <v>2.2988505747126436E-2</v>
      </c>
      <c r="U61" s="100">
        <f t="shared" si="0"/>
        <v>2.2988505747126436E-2</v>
      </c>
    </row>
    <row r="62" spans="1:21">
      <c r="A62" s="86" t="s">
        <v>0</v>
      </c>
      <c r="B62" s="80" t="s">
        <v>84</v>
      </c>
      <c r="C62" s="80" t="s">
        <v>192</v>
      </c>
      <c r="D62" s="80">
        <v>274</v>
      </c>
      <c r="E62" s="97">
        <v>0.5</v>
      </c>
      <c r="F62" s="80">
        <v>1</v>
      </c>
      <c r="G62" s="80">
        <v>0</v>
      </c>
      <c r="H62" s="80">
        <v>1</v>
      </c>
      <c r="I62" s="80">
        <v>1</v>
      </c>
      <c r="J62" s="80">
        <v>0</v>
      </c>
      <c r="K62" s="80"/>
      <c r="L62" s="80"/>
      <c r="M62" s="80"/>
      <c r="N62" s="80"/>
      <c r="O62" s="80"/>
      <c r="P62" s="80"/>
      <c r="Q62" s="80"/>
      <c r="R62" s="80"/>
      <c r="S62" s="77">
        <f>SUM(G62:R62)</f>
        <v>2</v>
      </c>
      <c r="T62" s="85" t="e">
        <f>S62/S59</f>
        <v>#DIV/0!</v>
      </c>
      <c r="U62" s="100" t="e">
        <f t="shared" si="0"/>
        <v>#DIV/0!</v>
      </c>
    </row>
    <row r="63" spans="1:21">
      <c r="A63" s="86" t="s">
        <v>12</v>
      </c>
      <c r="B63" s="80" t="s">
        <v>85</v>
      </c>
      <c r="C63" s="80" t="s">
        <v>192</v>
      </c>
      <c r="D63" s="80">
        <v>1778</v>
      </c>
      <c r="E63" s="80">
        <v>1</v>
      </c>
      <c r="F63" s="80">
        <v>1778</v>
      </c>
      <c r="G63" s="80">
        <v>46</v>
      </c>
      <c r="H63" s="80">
        <v>32</v>
      </c>
      <c r="I63" s="80">
        <v>46</v>
      </c>
      <c r="J63" s="80">
        <v>52</v>
      </c>
      <c r="K63" s="80"/>
      <c r="L63" s="80"/>
      <c r="M63" s="80"/>
      <c r="N63" s="80"/>
      <c r="O63" s="80"/>
      <c r="P63" s="80"/>
      <c r="Q63" s="80"/>
      <c r="R63" s="80"/>
      <c r="S63" s="77">
        <f>SUM(G63:R63)</f>
        <v>176</v>
      </c>
      <c r="T63" s="84">
        <f>S63/F63</f>
        <v>9.8987626546681667E-2</v>
      </c>
      <c r="U63" s="100">
        <f t="shared" si="0"/>
        <v>9.8987626546681667E-2</v>
      </c>
    </row>
    <row r="64" spans="1:21">
      <c r="A64" s="86" t="s">
        <v>12</v>
      </c>
      <c r="B64" s="80" t="s">
        <v>86</v>
      </c>
      <c r="C64" s="80" t="s">
        <v>192</v>
      </c>
      <c r="D64" s="80">
        <v>1053</v>
      </c>
      <c r="E64" s="80">
        <v>0.5</v>
      </c>
      <c r="F64" s="80">
        <v>526.5</v>
      </c>
      <c r="G64" s="80">
        <v>37</v>
      </c>
      <c r="H64" s="80">
        <v>24</v>
      </c>
      <c r="I64" s="80">
        <v>89</v>
      </c>
      <c r="J64" s="80">
        <v>42</v>
      </c>
      <c r="K64" s="80"/>
      <c r="L64" s="80"/>
      <c r="M64" s="80"/>
      <c r="N64" s="80"/>
      <c r="O64" s="80"/>
      <c r="P64" s="80"/>
      <c r="Q64" s="80"/>
      <c r="R64" s="80"/>
      <c r="S64" s="77">
        <f>SUM(G64:R64)</f>
        <v>192</v>
      </c>
      <c r="T64" s="84">
        <f>S64/F64</f>
        <v>0.36467236467236469</v>
      </c>
      <c r="U64" s="100">
        <f t="shared" si="0"/>
        <v>0.36467236467236469</v>
      </c>
    </row>
    <row r="65" spans="1:21">
      <c r="A65" s="86" t="s">
        <v>12</v>
      </c>
      <c r="B65" s="80" t="s">
        <v>87</v>
      </c>
      <c r="C65" s="80" t="s">
        <v>192</v>
      </c>
      <c r="D65" s="80">
        <v>1053</v>
      </c>
      <c r="E65" s="77">
        <v>0.01</v>
      </c>
      <c r="F65" s="80">
        <f>F64*E65</f>
        <v>5.2649999999999997</v>
      </c>
      <c r="G65" s="80">
        <v>1</v>
      </c>
      <c r="H65" s="80">
        <v>0</v>
      </c>
      <c r="I65" s="80">
        <v>0</v>
      </c>
      <c r="J65" s="80">
        <v>0</v>
      </c>
      <c r="K65" s="80"/>
      <c r="L65" s="80"/>
      <c r="M65" s="80"/>
      <c r="N65" s="80"/>
      <c r="O65" s="80"/>
      <c r="P65" s="80"/>
      <c r="Q65" s="80"/>
      <c r="R65" s="80"/>
      <c r="S65" s="77">
        <f t="shared" ref="S65:S71" si="11">SUM(G65:R65)</f>
        <v>1</v>
      </c>
      <c r="T65" s="91">
        <f>S65/S64</f>
        <v>5.208333333333333E-3</v>
      </c>
      <c r="U65" s="100">
        <f t="shared" si="0"/>
        <v>5.208333333333333E-3</v>
      </c>
    </row>
    <row r="66" spans="1:21">
      <c r="A66" s="86" t="s">
        <v>12</v>
      </c>
      <c r="B66" s="80" t="s">
        <v>88</v>
      </c>
      <c r="C66" s="80" t="s">
        <v>192</v>
      </c>
      <c r="D66" s="80">
        <v>1053</v>
      </c>
      <c r="E66" s="80">
        <v>0.01</v>
      </c>
      <c r="F66" s="80">
        <v>5.2649999999999997</v>
      </c>
      <c r="G66" s="80">
        <v>1</v>
      </c>
      <c r="H66" s="80">
        <v>0</v>
      </c>
      <c r="I66" s="80">
        <v>0</v>
      </c>
      <c r="J66" s="80">
        <v>0</v>
      </c>
      <c r="K66" s="80"/>
      <c r="L66" s="80"/>
      <c r="M66" s="80"/>
      <c r="N66" s="80"/>
      <c r="O66" s="80"/>
      <c r="P66" s="80"/>
      <c r="Q66" s="80"/>
      <c r="R66" s="80"/>
      <c r="S66" s="77">
        <f t="shared" si="11"/>
        <v>1</v>
      </c>
      <c r="T66" s="80">
        <f>S66/S65</f>
        <v>1</v>
      </c>
      <c r="U66" s="100">
        <f t="shared" si="0"/>
        <v>1</v>
      </c>
    </row>
    <row r="67" spans="1:21">
      <c r="A67" t="s">
        <v>13</v>
      </c>
      <c r="B67" s="80" t="s">
        <v>89</v>
      </c>
      <c r="C67" s="80" t="s">
        <v>192</v>
      </c>
      <c r="D67" s="80">
        <v>1061</v>
      </c>
      <c r="E67" s="80">
        <v>0.2</v>
      </c>
      <c r="F67" s="80">
        <v>212.20000000000002</v>
      </c>
      <c r="G67" s="80">
        <v>16</v>
      </c>
      <c r="H67" s="80">
        <v>33</v>
      </c>
      <c r="I67" s="80">
        <v>38</v>
      </c>
      <c r="J67" s="80">
        <v>52</v>
      </c>
      <c r="K67" s="80"/>
      <c r="L67" s="80"/>
      <c r="M67" s="80"/>
      <c r="N67" s="80"/>
      <c r="O67" s="80"/>
      <c r="P67" s="80"/>
      <c r="Q67" s="80"/>
      <c r="R67" s="80"/>
      <c r="S67" s="77">
        <f t="shared" si="11"/>
        <v>139</v>
      </c>
      <c r="T67" s="84">
        <f t="shared" ref="T67:T71" si="12">S67/F67</f>
        <v>0.65504241281809605</v>
      </c>
      <c r="U67" s="100">
        <f t="shared" si="0"/>
        <v>0.65504241281809605</v>
      </c>
    </row>
    <row r="68" spans="1:21">
      <c r="A68" t="s">
        <v>13</v>
      </c>
      <c r="B68" s="80" t="s">
        <v>90</v>
      </c>
      <c r="C68" s="80" t="s">
        <v>192</v>
      </c>
      <c r="D68" s="80">
        <v>1061</v>
      </c>
      <c r="E68" s="80">
        <v>0.2</v>
      </c>
      <c r="F68" s="80">
        <v>212.20000000000002</v>
      </c>
      <c r="G68" s="80">
        <v>56</v>
      </c>
      <c r="H68" s="80">
        <v>89</v>
      </c>
      <c r="I68" s="80">
        <v>101</v>
      </c>
      <c r="J68" s="80">
        <v>40</v>
      </c>
      <c r="K68" s="80"/>
      <c r="L68" s="80"/>
      <c r="M68" s="80"/>
      <c r="N68" s="80"/>
      <c r="O68" s="80"/>
      <c r="P68" s="80"/>
      <c r="Q68" s="80"/>
      <c r="R68" s="80"/>
      <c r="S68" s="77">
        <f t="shared" si="11"/>
        <v>286</v>
      </c>
      <c r="T68" s="84">
        <f t="shared" si="12"/>
        <v>1.3477851083883128</v>
      </c>
      <c r="U68" s="100">
        <f t="shared" si="0"/>
        <v>1.3477851083883128</v>
      </c>
    </row>
    <row r="69" spans="1:21">
      <c r="A69" t="s">
        <v>13</v>
      </c>
      <c r="B69" s="80" t="s">
        <v>91</v>
      </c>
      <c r="C69" s="80" t="s">
        <v>192</v>
      </c>
      <c r="D69" s="80">
        <v>1061</v>
      </c>
      <c r="E69" s="80">
        <v>0.2</v>
      </c>
      <c r="F69" s="80">
        <v>212.20000000000002</v>
      </c>
      <c r="G69" s="80">
        <v>72</v>
      </c>
      <c r="H69" s="80">
        <v>122</v>
      </c>
      <c r="I69" s="80">
        <v>139</v>
      </c>
      <c r="J69" s="80">
        <v>0</v>
      </c>
      <c r="K69" s="80"/>
      <c r="L69" s="80"/>
      <c r="M69" s="80"/>
      <c r="N69" s="80"/>
      <c r="O69" s="80"/>
      <c r="P69" s="80"/>
      <c r="Q69" s="80"/>
      <c r="R69" s="80"/>
      <c r="S69" s="77">
        <f t="shared" si="11"/>
        <v>333</v>
      </c>
      <c r="T69" s="84">
        <f t="shared" si="12"/>
        <v>1.5692742695570217</v>
      </c>
      <c r="U69" s="100">
        <f t="shared" ref="U69:U111" si="13">T69</f>
        <v>1.5692742695570217</v>
      </c>
    </row>
    <row r="70" spans="1:21">
      <c r="A70" s="86" t="s">
        <v>13</v>
      </c>
      <c r="B70" s="80" t="s">
        <v>104</v>
      </c>
      <c r="C70" s="80" t="s">
        <v>192</v>
      </c>
      <c r="D70" s="80">
        <v>1061</v>
      </c>
      <c r="E70" s="77">
        <v>0.1</v>
      </c>
      <c r="F70" s="77">
        <f t="shared" ref="F70:F71" si="14">E70*D70</f>
        <v>106.10000000000001</v>
      </c>
      <c r="G70" s="80">
        <v>0</v>
      </c>
      <c r="H70" s="80">
        <v>0</v>
      </c>
      <c r="I70" s="80">
        <v>0</v>
      </c>
      <c r="J70" s="80">
        <v>0</v>
      </c>
      <c r="K70" s="80"/>
      <c r="L70" s="80"/>
      <c r="M70" s="80"/>
      <c r="N70" s="80"/>
      <c r="O70" s="80"/>
      <c r="P70" s="80"/>
      <c r="Q70" s="80"/>
      <c r="R70" s="80"/>
      <c r="S70" s="77">
        <f t="shared" si="11"/>
        <v>0</v>
      </c>
      <c r="T70" s="84">
        <f>S70/S68</f>
        <v>0</v>
      </c>
      <c r="U70" s="100">
        <f t="shared" si="13"/>
        <v>0</v>
      </c>
    </row>
    <row r="71" spans="1:21">
      <c r="A71" s="86" t="s">
        <v>13</v>
      </c>
      <c r="B71" s="80" t="s">
        <v>93</v>
      </c>
      <c r="C71" s="80" t="s">
        <v>192</v>
      </c>
      <c r="D71" s="80">
        <v>1061</v>
      </c>
      <c r="E71" s="77">
        <v>0.1</v>
      </c>
      <c r="F71" s="77">
        <f t="shared" si="14"/>
        <v>106.10000000000001</v>
      </c>
      <c r="G71" s="80">
        <v>0</v>
      </c>
      <c r="H71" s="80">
        <v>0</v>
      </c>
      <c r="I71" s="80">
        <v>0</v>
      </c>
      <c r="J71" s="80">
        <v>0</v>
      </c>
      <c r="K71" s="80"/>
      <c r="L71" s="80"/>
      <c r="M71" s="80"/>
      <c r="N71" s="80"/>
      <c r="O71" s="80"/>
      <c r="P71" s="80"/>
      <c r="Q71" s="80"/>
      <c r="R71" s="80"/>
      <c r="S71" s="77">
        <f t="shared" si="11"/>
        <v>0</v>
      </c>
      <c r="T71" s="84" t="e">
        <f>S71/S70</f>
        <v>#DIV/0!</v>
      </c>
      <c r="U71" s="100" t="e">
        <f t="shared" si="13"/>
        <v>#DIV/0!</v>
      </c>
    </row>
    <row r="72" spans="1:21">
      <c r="A72" s="86" t="s">
        <v>14</v>
      </c>
      <c r="B72" s="80" t="s">
        <v>94</v>
      </c>
      <c r="C72" s="80" t="s">
        <v>192</v>
      </c>
      <c r="D72" s="80">
        <v>2291</v>
      </c>
      <c r="E72" s="80">
        <v>0.5</v>
      </c>
      <c r="F72" s="80">
        <v>1145.5</v>
      </c>
      <c r="G72" s="80">
        <v>44</v>
      </c>
      <c r="H72" s="80">
        <v>145</v>
      </c>
      <c r="I72" s="80">
        <v>135</v>
      </c>
      <c r="J72" s="80">
        <v>61</v>
      </c>
      <c r="K72" s="80"/>
      <c r="L72" s="80"/>
      <c r="M72" s="80"/>
      <c r="N72" s="80"/>
      <c r="O72" s="80"/>
      <c r="P72" s="80"/>
      <c r="Q72" s="80"/>
      <c r="R72" s="80"/>
      <c r="S72" s="77">
        <f>SUM(G72:R72)</f>
        <v>385</v>
      </c>
      <c r="T72" s="84">
        <f>S72/F72</f>
        <v>0.33609777389786122</v>
      </c>
      <c r="U72" s="100">
        <f t="shared" si="13"/>
        <v>0.33609777389786122</v>
      </c>
    </row>
    <row r="73" spans="1:21">
      <c r="A73" s="86" t="s">
        <v>14</v>
      </c>
      <c r="B73" s="80" t="s">
        <v>95</v>
      </c>
      <c r="C73" s="80" t="s">
        <v>192</v>
      </c>
      <c r="D73" s="80">
        <v>2291</v>
      </c>
      <c r="E73" s="87">
        <v>0.1</v>
      </c>
      <c r="F73" s="80">
        <f>F72*E73</f>
        <v>114.55000000000001</v>
      </c>
      <c r="G73" s="80">
        <v>0</v>
      </c>
      <c r="H73" s="80">
        <v>0</v>
      </c>
      <c r="I73" s="80">
        <v>0</v>
      </c>
      <c r="J73" s="80">
        <v>0</v>
      </c>
      <c r="K73" s="80"/>
      <c r="L73" s="80"/>
      <c r="M73" s="80"/>
      <c r="N73" s="80"/>
      <c r="O73" s="80"/>
      <c r="P73" s="80"/>
      <c r="Q73" s="80"/>
      <c r="R73" s="80"/>
      <c r="S73" s="77">
        <f t="shared" ref="S73:S74" si="15">SUM(G73:R73)</f>
        <v>0</v>
      </c>
      <c r="T73" s="90">
        <f>S73/S72</f>
        <v>0</v>
      </c>
      <c r="U73" s="100">
        <f t="shared" si="13"/>
        <v>0</v>
      </c>
    </row>
    <row r="74" spans="1:21">
      <c r="A74" s="86" t="s">
        <v>14</v>
      </c>
      <c r="B74" s="80" t="s">
        <v>96</v>
      </c>
      <c r="C74" s="80" t="s">
        <v>192</v>
      </c>
      <c r="D74" s="80">
        <v>2291</v>
      </c>
      <c r="E74" s="87">
        <v>0.1</v>
      </c>
      <c r="F74" s="80">
        <v>114.55000000000001</v>
      </c>
      <c r="G74" s="80">
        <v>0</v>
      </c>
      <c r="H74" s="80">
        <v>0</v>
      </c>
      <c r="I74" s="80">
        <v>0</v>
      </c>
      <c r="J74" s="80">
        <v>0</v>
      </c>
      <c r="K74" s="80"/>
      <c r="L74" s="80"/>
      <c r="M74" s="80"/>
      <c r="N74" s="80"/>
      <c r="O74" s="80"/>
      <c r="P74" s="80"/>
      <c r="Q74" s="80"/>
      <c r="R74" s="80"/>
      <c r="S74" s="77">
        <f t="shared" si="15"/>
        <v>0</v>
      </c>
      <c r="T74" s="80" t="e">
        <f>S74/S73</f>
        <v>#DIV/0!</v>
      </c>
      <c r="U74" s="100" t="e">
        <f t="shared" si="13"/>
        <v>#DIV/0!</v>
      </c>
    </row>
    <row r="75" spans="1:21">
      <c r="B75" s="80" t="s">
        <v>78</v>
      </c>
      <c r="C75" s="80" t="s">
        <v>192</v>
      </c>
      <c r="D75" s="80"/>
      <c r="E75" s="80"/>
      <c r="F75" s="80"/>
      <c r="G75" s="80"/>
      <c r="H75" s="80"/>
      <c r="I75" s="80"/>
      <c r="J75" s="80"/>
      <c r="K75" s="80"/>
      <c r="L75" s="80"/>
      <c r="M75" s="80"/>
      <c r="N75" s="80"/>
      <c r="O75" s="80"/>
      <c r="P75" s="80"/>
      <c r="Q75" s="80"/>
      <c r="R75" s="80"/>
      <c r="S75" s="80"/>
      <c r="T75" s="80"/>
      <c r="U75" s="100">
        <f t="shared" si="13"/>
        <v>0</v>
      </c>
    </row>
    <row r="76" spans="1:21">
      <c r="A76" s="86" t="s">
        <v>0</v>
      </c>
      <c r="B76" s="82" t="s">
        <v>80</v>
      </c>
      <c r="C76" s="82" t="s">
        <v>175</v>
      </c>
      <c r="D76" s="82">
        <v>452</v>
      </c>
      <c r="E76" s="82">
        <v>0.33</v>
      </c>
      <c r="F76" s="82">
        <v>149.16</v>
      </c>
      <c r="G76" s="82">
        <v>4</v>
      </c>
      <c r="H76" s="82">
        <v>9</v>
      </c>
      <c r="I76" s="85">
        <v>38</v>
      </c>
      <c r="J76" s="82">
        <v>22</v>
      </c>
      <c r="K76" s="82"/>
      <c r="L76" s="82"/>
      <c r="M76" s="82"/>
      <c r="N76" s="82"/>
      <c r="O76" s="82"/>
      <c r="P76" s="82"/>
      <c r="Q76" s="82"/>
      <c r="R76" s="82"/>
      <c r="S76" s="77">
        <f>SUM(G76:R76)</f>
        <v>73</v>
      </c>
      <c r="T76" s="98">
        <f>S76/F76</f>
        <v>0.48940734781442746</v>
      </c>
      <c r="U76" s="100">
        <f t="shared" si="13"/>
        <v>0.48940734781442746</v>
      </c>
    </row>
    <row r="77" spans="1:21">
      <c r="A77" s="86" t="s">
        <v>0</v>
      </c>
      <c r="B77" s="82" t="s">
        <v>81</v>
      </c>
      <c r="C77" s="82" t="s">
        <v>175</v>
      </c>
      <c r="D77" s="82">
        <v>452</v>
      </c>
      <c r="E77" s="89">
        <v>0.1</v>
      </c>
      <c r="F77" s="82">
        <f>D77*E77</f>
        <v>45.2</v>
      </c>
      <c r="G77" s="82">
        <v>2</v>
      </c>
      <c r="H77" s="82">
        <v>2</v>
      </c>
      <c r="I77" s="82">
        <v>0</v>
      </c>
      <c r="J77" s="82">
        <v>1</v>
      </c>
      <c r="K77" s="82"/>
      <c r="L77" s="82"/>
      <c r="M77" s="82"/>
      <c r="N77" s="82"/>
      <c r="O77" s="82"/>
      <c r="P77" s="82"/>
      <c r="Q77" s="82"/>
      <c r="R77" s="82"/>
      <c r="S77" s="77">
        <f>SUM(G77:R77)</f>
        <v>5</v>
      </c>
      <c r="T77" s="95">
        <f>S77/S76</f>
        <v>6.8493150684931503E-2</v>
      </c>
      <c r="U77" s="100">
        <f t="shared" si="13"/>
        <v>6.8493150684931503E-2</v>
      </c>
    </row>
    <row r="78" spans="1:21">
      <c r="A78" s="86" t="s">
        <v>0</v>
      </c>
      <c r="B78" s="82" t="s">
        <v>82</v>
      </c>
      <c r="C78" s="82" t="s">
        <v>175</v>
      </c>
      <c r="D78" s="82">
        <v>3070</v>
      </c>
      <c r="E78" s="82">
        <v>0.2</v>
      </c>
      <c r="F78" s="82">
        <v>614</v>
      </c>
      <c r="G78" s="82">
        <v>2</v>
      </c>
      <c r="H78" s="82">
        <v>55</v>
      </c>
      <c r="I78" s="82">
        <v>75</v>
      </c>
      <c r="J78" s="82">
        <v>50</v>
      </c>
      <c r="K78" s="82"/>
      <c r="L78" s="82"/>
      <c r="M78" s="82"/>
      <c r="N78" s="82"/>
      <c r="O78" s="82"/>
      <c r="P78" s="82"/>
      <c r="Q78" s="82"/>
      <c r="R78" s="82"/>
      <c r="S78" s="77">
        <f>SUM(G78:R78)</f>
        <v>182</v>
      </c>
      <c r="T78" s="84">
        <f>S78/F78</f>
        <v>0.29641693811074921</v>
      </c>
      <c r="U78" s="100">
        <f t="shared" si="13"/>
        <v>0.29641693811074921</v>
      </c>
    </row>
    <row r="79" spans="1:21">
      <c r="A79" s="86" t="s">
        <v>0</v>
      </c>
      <c r="B79" s="82" t="s">
        <v>83</v>
      </c>
      <c r="C79" s="82" t="s">
        <v>175</v>
      </c>
      <c r="D79" s="82">
        <v>3070</v>
      </c>
      <c r="E79" s="77">
        <v>0.15</v>
      </c>
      <c r="F79" s="82">
        <f>F78+E79</f>
        <v>614.15</v>
      </c>
      <c r="G79" s="82">
        <v>0</v>
      </c>
      <c r="H79" s="82">
        <v>6</v>
      </c>
      <c r="I79" s="82">
        <v>3</v>
      </c>
      <c r="J79" s="82">
        <v>0</v>
      </c>
      <c r="K79" s="82"/>
      <c r="L79" s="82"/>
      <c r="M79" s="82"/>
      <c r="N79" s="82"/>
      <c r="O79" s="82"/>
      <c r="P79" s="82"/>
      <c r="Q79" s="82"/>
      <c r="R79" s="82"/>
      <c r="S79" s="77">
        <f>SUM(G79:R79)</f>
        <v>9</v>
      </c>
      <c r="T79" s="94">
        <f>S79/S78</f>
        <v>4.9450549450549448E-2</v>
      </c>
      <c r="U79" s="100">
        <f t="shared" si="13"/>
        <v>4.9450549450549448E-2</v>
      </c>
    </row>
    <row r="80" spans="1:21">
      <c r="A80" s="86" t="s">
        <v>0</v>
      </c>
      <c r="B80" s="82" t="s">
        <v>84</v>
      </c>
      <c r="C80" s="82" t="s">
        <v>175</v>
      </c>
      <c r="D80" s="82">
        <v>452</v>
      </c>
      <c r="E80" s="97">
        <v>0.5</v>
      </c>
      <c r="F80" s="82">
        <v>1</v>
      </c>
      <c r="G80" s="82">
        <v>3</v>
      </c>
      <c r="H80" s="82">
        <v>0</v>
      </c>
      <c r="I80" s="82">
        <v>0</v>
      </c>
      <c r="J80" s="82">
        <v>0</v>
      </c>
      <c r="K80" s="82"/>
      <c r="L80" s="82"/>
      <c r="M80" s="82"/>
      <c r="N80" s="82"/>
      <c r="O80" s="82"/>
      <c r="P80" s="82"/>
      <c r="Q80" s="82"/>
      <c r="R80" s="82"/>
      <c r="S80" s="77">
        <f>SUM(G80:R80)</f>
        <v>3</v>
      </c>
      <c r="T80" s="94">
        <f>S80/S77</f>
        <v>0.6</v>
      </c>
      <c r="U80" s="100">
        <f t="shared" si="13"/>
        <v>0.6</v>
      </c>
    </row>
    <row r="81" spans="1:21">
      <c r="A81" s="86" t="s">
        <v>12</v>
      </c>
      <c r="B81" s="82" t="s">
        <v>85</v>
      </c>
      <c r="C81" s="82" t="s">
        <v>175</v>
      </c>
      <c r="D81" s="82">
        <v>2331</v>
      </c>
      <c r="E81" s="82">
        <v>1</v>
      </c>
      <c r="F81" s="82">
        <v>2331</v>
      </c>
      <c r="G81" s="82">
        <v>329</v>
      </c>
      <c r="H81" s="82">
        <v>441</v>
      </c>
      <c r="I81" s="82">
        <v>169</v>
      </c>
      <c r="J81" s="82">
        <v>170</v>
      </c>
      <c r="K81" s="82"/>
      <c r="L81" s="82"/>
      <c r="M81" s="82"/>
      <c r="N81" s="82"/>
      <c r="O81" s="82"/>
      <c r="P81" s="82"/>
      <c r="Q81" s="82"/>
      <c r="R81" s="82"/>
      <c r="S81" s="77">
        <f>SUM(G81:R81)</f>
        <v>1109</v>
      </c>
      <c r="T81" s="84">
        <f>S81/F81</f>
        <v>0.47576147576147576</v>
      </c>
      <c r="U81" s="100">
        <f t="shared" si="13"/>
        <v>0.47576147576147576</v>
      </c>
    </row>
    <row r="82" spans="1:21">
      <c r="A82" s="86" t="s">
        <v>12</v>
      </c>
      <c r="B82" s="82" t="s">
        <v>86</v>
      </c>
      <c r="C82" s="82" t="s">
        <v>175</v>
      </c>
      <c r="D82" s="82">
        <v>1332</v>
      </c>
      <c r="E82" s="82">
        <v>0.5</v>
      </c>
      <c r="F82" s="82">
        <v>666</v>
      </c>
      <c r="G82" s="82">
        <v>53</v>
      </c>
      <c r="H82" s="82">
        <v>93</v>
      </c>
      <c r="I82" s="82">
        <v>27</v>
      </c>
      <c r="J82" s="82">
        <v>2</v>
      </c>
      <c r="K82" s="82"/>
      <c r="L82" s="82"/>
      <c r="M82" s="82"/>
      <c r="N82" s="82"/>
      <c r="O82" s="82"/>
      <c r="P82" s="82"/>
      <c r="Q82" s="82"/>
      <c r="R82" s="82"/>
      <c r="S82" s="77">
        <f>SUM(G82:R82)</f>
        <v>175</v>
      </c>
      <c r="T82" s="84">
        <f>S82/F82</f>
        <v>0.26276276276276278</v>
      </c>
      <c r="U82" s="100">
        <f t="shared" si="13"/>
        <v>0.26276276276276278</v>
      </c>
    </row>
    <row r="83" spans="1:21">
      <c r="A83" s="86" t="s">
        <v>12</v>
      </c>
      <c r="B83" s="82" t="s">
        <v>87</v>
      </c>
      <c r="C83" s="82" t="s">
        <v>175</v>
      </c>
      <c r="D83" s="82">
        <v>1332</v>
      </c>
      <c r="E83" s="77">
        <v>0.01</v>
      </c>
      <c r="F83" s="82">
        <f>F82*E83</f>
        <v>6.66</v>
      </c>
      <c r="G83" s="82">
        <v>0</v>
      </c>
      <c r="H83" s="82">
        <v>0</v>
      </c>
      <c r="I83" s="82">
        <v>0</v>
      </c>
      <c r="J83" s="82">
        <v>0</v>
      </c>
      <c r="K83" s="82"/>
      <c r="L83" s="82"/>
      <c r="M83" s="82"/>
      <c r="N83" s="82"/>
      <c r="O83" s="82"/>
      <c r="P83" s="82"/>
      <c r="Q83" s="82"/>
      <c r="R83" s="82"/>
      <c r="S83" s="77">
        <f t="shared" ref="S83:S89" si="16">SUM(G83:R83)</f>
        <v>0</v>
      </c>
      <c r="T83" s="95">
        <f>S83/S82</f>
        <v>0</v>
      </c>
      <c r="U83" s="100">
        <f t="shared" si="13"/>
        <v>0</v>
      </c>
    </row>
    <row r="84" spans="1:21">
      <c r="A84" s="86" t="s">
        <v>12</v>
      </c>
      <c r="B84" s="82" t="s">
        <v>88</v>
      </c>
      <c r="C84" s="82" t="s">
        <v>175</v>
      </c>
      <c r="D84" s="82">
        <v>1332</v>
      </c>
      <c r="E84" s="82">
        <v>0.01</v>
      </c>
      <c r="F84" s="82">
        <v>6.66</v>
      </c>
      <c r="G84" s="82">
        <v>0</v>
      </c>
      <c r="H84" s="82">
        <v>0</v>
      </c>
      <c r="I84" s="82">
        <v>0</v>
      </c>
      <c r="J84" s="82">
        <v>0</v>
      </c>
      <c r="K84" s="82"/>
      <c r="L84" s="82"/>
      <c r="M84" s="82"/>
      <c r="N84" s="82"/>
      <c r="O84" s="82"/>
      <c r="P84" s="82"/>
      <c r="Q84" s="82"/>
      <c r="R84" s="82"/>
      <c r="S84" s="77">
        <f t="shared" si="16"/>
        <v>0</v>
      </c>
      <c r="T84" s="82" t="e">
        <f>S84/S83</f>
        <v>#DIV/0!</v>
      </c>
      <c r="U84" s="100" t="e">
        <f t="shared" si="13"/>
        <v>#DIV/0!</v>
      </c>
    </row>
    <row r="85" spans="1:21">
      <c r="A85" t="s">
        <v>13</v>
      </c>
      <c r="B85" s="82" t="s">
        <v>89</v>
      </c>
      <c r="C85" s="82" t="s">
        <v>175</v>
      </c>
      <c r="D85" s="82">
        <v>1452</v>
      </c>
      <c r="E85" s="82">
        <v>0.2</v>
      </c>
      <c r="F85" s="82">
        <v>290.40000000000003</v>
      </c>
      <c r="G85" s="82">
        <v>45</v>
      </c>
      <c r="H85" s="82">
        <v>48</v>
      </c>
      <c r="I85" s="82">
        <v>113</v>
      </c>
      <c r="J85" s="82">
        <v>136</v>
      </c>
      <c r="K85" s="82"/>
      <c r="L85" s="82"/>
      <c r="M85" s="82"/>
      <c r="N85" s="82"/>
      <c r="O85" s="82"/>
      <c r="P85" s="82"/>
      <c r="Q85" s="82"/>
      <c r="R85" s="82"/>
      <c r="S85" s="77">
        <f t="shared" si="16"/>
        <v>342</v>
      </c>
      <c r="T85" s="84">
        <f t="shared" ref="T85:T89" si="17">S85/F85</f>
        <v>1.1776859504132231</v>
      </c>
      <c r="U85" s="100">
        <f t="shared" si="13"/>
        <v>1.1776859504132231</v>
      </c>
    </row>
    <row r="86" spans="1:21">
      <c r="A86" t="s">
        <v>13</v>
      </c>
      <c r="B86" s="82" t="s">
        <v>90</v>
      </c>
      <c r="C86" s="82" t="s">
        <v>175</v>
      </c>
      <c r="D86" s="82">
        <v>1452</v>
      </c>
      <c r="E86" s="82">
        <v>0.2</v>
      </c>
      <c r="F86" s="82">
        <v>290.40000000000003</v>
      </c>
      <c r="G86" s="82">
        <v>27</v>
      </c>
      <c r="H86" s="82">
        <v>39</v>
      </c>
      <c r="I86" s="82">
        <v>35</v>
      </c>
      <c r="J86" s="82">
        <v>46</v>
      </c>
      <c r="K86" s="82"/>
      <c r="L86" s="82"/>
      <c r="M86" s="82"/>
      <c r="N86" s="82"/>
      <c r="O86" s="82"/>
      <c r="P86" s="82"/>
      <c r="Q86" s="82"/>
      <c r="R86" s="82"/>
      <c r="S86" s="77">
        <f t="shared" si="16"/>
        <v>147</v>
      </c>
      <c r="T86" s="84">
        <f t="shared" si="17"/>
        <v>0.50619834710743794</v>
      </c>
      <c r="U86" s="100">
        <f t="shared" si="13"/>
        <v>0.50619834710743794</v>
      </c>
    </row>
    <row r="87" spans="1:21">
      <c r="A87" t="s">
        <v>13</v>
      </c>
      <c r="B87" s="82" t="s">
        <v>91</v>
      </c>
      <c r="C87" s="82" t="s">
        <v>175</v>
      </c>
      <c r="D87" s="82">
        <v>1452</v>
      </c>
      <c r="E87" s="82">
        <v>0.2</v>
      </c>
      <c r="F87" s="82">
        <v>290.40000000000003</v>
      </c>
      <c r="G87" s="82">
        <v>4</v>
      </c>
      <c r="H87" s="82">
        <v>6</v>
      </c>
      <c r="I87" s="82">
        <v>0</v>
      </c>
      <c r="J87" s="82"/>
      <c r="K87" s="82"/>
      <c r="L87" s="82"/>
      <c r="M87" s="82"/>
      <c r="N87" s="82"/>
      <c r="O87" s="82"/>
      <c r="P87" s="82"/>
      <c r="Q87" s="82"/>
      <c r="R87" s="82"/>
      <c r="S87" s="77">
        <f t="shared" si="16"/>
        <v>10</v>
      </c>
      <c r="T87" s="84">
        <f t="shared" si="17"/>
        <v>3.4435261707988975E-2</v>
      </c>
      <c r="U87" s="100">
        <f t="shared" si="13"/>
        <v>3.4435261707988975E-2</v>
      </c>
    </row>
    <row r="88" spans="1:21">
      <c r="A88" s="86" t="s">
        <v>13</v>
      </c>
      <c r="B88" s="82" t="s">
        <v>104</v>
      </c>
      <c r="C88" s="82" t="s">
        <v>175</v>
      </c>
      <c r="D88" s="82">
        <v>1452</v>
      </c>
      <c r="E88" s="77">
        <v>0.1</v>
      </c>
      <c r="F88" s="77">
        <f t="shared" ref="F88:F89" si="18">E88*D88</f>
        <v>145.20000000000002</v>
      </c>
      <c r="G88" s="82">
        <v>0</v>
      </c>
      <c r="H88" s="82">
        <v>3</v>
      </c>
      <c r="I88" s="82">
        <v>6</v>
      </c>
      <c r="J88" s="82">
        <v>4</v>
      </c>
      <c r="K88" s="82"/>
      <c r="L88" s="82"/>
      <c r="M88" s="82"/>
      <c r="N88" s="82"/>
      <c r="O88" s="82"/>
      <c r="P88" s="82"/>
      <c r="Q88" s="82"/>
      <c r="R88" s="82"/>
      <c r="S88" s="77">
        <f t="shared" si="16"/>
        <v>13</v>
      </c>
      <c r="T88" s="84">
        <f>S88/S86</f>
        <v>8.8435374149659865E-2</v>
      </c>
      <c r="U88" s="100">
        <f t="shared" si="13"/>
        <v>8.8435374149659865E-2</v>
      </c>
    </row>
    <row r="89" spans="1:21">
      <c r="A89" s="86" t="s">
        <v>13</v>
      </c>
      <c r="B89" s="82" t="s">
        <v>93</v>
      </c>
      <c r="C89" s="82" t="s">
        <v>175</v>
      </c>
      <c r="D89" s="82">
        <v>1452</v>
      </c>
      <c r="E89" s="77">
        <v>0.1</v>
      </c>
      <c r="F89" s="77">
        <f t="shared" si="18"/>
        <v>145.20000000000002</v>
      </c>
      <c r="G89" s="82">
        <v>0</v>
      </c>
      <c r="H89" s="82">
        <v>0</v>
      </c>
      <c r="I89" s="82">
        <v>0</v>
      </c>
      <c r="J89" s="82">
        <v>0</v>
      </c>
      <c r="K89" s="82"/>
      <c r="L89" s="82"/>
      <c r="M89" s="82"/>
      <c r="N89" s="82"/>
      <c r="O89" s="82"/>
      <c r="P89" s="82"/>
      <c r="Q89" s="82"/>
      <c r="R89" s="82"/>
      <c r="S89" s="77">
        <f t="shared" si="16"/>
        <v>0</v>
      </c>
      <c r="T89" s="84">
        <f>S89/S88</f>
        <v>0</v>
      </c>
      <c r="U89" s="100">
        <f t="shared" si="13"/>
        <v>0</v>
      </c>
    </row>
    <row r="90" spans="1:21">
      <c r="A90" s="86" t="s">
        <v>14</v>
      </c>
      <c r="B90" s="82" t="s">
        <v>94</v>
      </c>
      <c r="C90" s="82" t="s">
        <v>175</v>
      </c>
      <c r="D90" s="82">
        <v>3010</v>
      </c>
      <c r="E90" s="82">
        <v>0.5</v>
      </c>
      <c r="F90" s="82">
        <v>1505</v>
      </c>
      <c r="G90" s="82">
        <v>64</v>
      </c>
      <c r="H90" s="82">
        <v>91</v>
      </c>
      <c r="I90" s="82">
        <v>3</v>
      </c>
      <c r="J90" s="82">
        <v>34</v>
      </c>
      <c r="K90" s="82"/>
      <c r="L90" s="82"/>
      <c r="M90" s="82"/>
      <c r="N90" s="82"/>
      <c r="O90" s="82"/>
      <c r="P90" s="82"/>
      <c r="Q90" s="82"/>
      <c r="R90" s="82"/>
      <c r="S90" s="77">
        <f>SUM(G90:R90)</f>
        <v>192</v>
      </c>
      <c r="T90" s="84">
        <f>S90/F90</f>
        <v>0.12757475083056477</v>
      </c>
      <c r="U90" s="100">
        <f t="shared" si="13"/>
        <v>0.12757475083056477</v>
      </c>
    </row>
    <row r="91" spans="1:21">
      <c r="A91" s="86" t="s">
        <v>14</v>
      </c>
      <c r="B91" s="82" t="s">
        <v>95</v>
      </c>
      <c r="C91" s="82" t="s">
        <v>175</v>
      </c>
      <c r="D91" s="82">
        <v>3010</v>
      </c>
      <c r="E91" s="87">
        <v>0.1</v>
      </c>
      <c r="F91" s="82">
        <f>F90*E91</f>
        <v>150.5</v>
      </c>
      <c r="G91" s="82">
        <v>1</v>
      </c>
      <c r="H91" s="82">
        <v>7</v>
      </c>
      <c r="I91" s="82">
        <v>0</v>
      </c>
      <c r="J91" s="82">
        <v>8</v>
      </c>
      <c r="K91" s="82"/>
      <c r="L91" s="82"/>
      <c r="M91" s="82"/>
      <c r="N91" s="82"/>
      <c r="O91" s="82"/>
      <c r="P91" s="82"/>
      <c r="Q91" s="82"/>
      <c r="R91" s="82"/>
      <c r="S91" s="77">
        <f t="shared" ref="S91:S92" si="19">SUM(G91:R91)</f>
        <v>16</v>
      </c>
      <c r="T91" s="94">
        <f>S91/S90</f>
        <v>8.3333333333333329E-2</v>
      </c>
      <c r="U91" s="100">
        <f t="shared" si="13"/>
        <v>8.3333333333333329E-2</v>
      </c>
    </row>
    <row r="92" spans="1:21">
      <c r="A92" s="86" t="s">
        <v>14</v>
      </c>
      <c r="B92" s="82" t="s">
        <v>96</v>
      </c>
      <c r="C92" s="82" t="s">
        <v>175</v>
      </c>
      <c r="D92" s="82">
        <v>3010</v>
      </c>
      <c r="E92" s="87">
        <v>0.1</v>
      </c>
      <c r="F92" s="82">
        <v>150.5</v>
      </c>
      <c r="G92" s="82">
        <v>0</v>
      </c>
      <c r="H92" s="82">
        <v>0</v>
      </c>
      <c r="I92" s="82">
        <v>0</v>
      </c>
      <c r="J92" s="82">
        <v>0</v>
      </c>
      <c r="K92" s="82"/>
      <c r="L92" s="82"/>
      <c r="M92" s="82"/>
      <c r="N92" s="82"/>
      <c r="O92" s="82"/>
      <c r="P92" s="82"/>
      <c r="Q92" s="82"/>
      <c r="R92" s="82"/>
      <c r="S92" s="77">
        <f t="shared" si="19"/>
        <v>0</v>
      </c>
      <c r="T92" s="82">
        <f>S92/S91</f>
        <v>0</v>
      </c>
      <c r="U92" s="100">
        <f t="shared" si="13"/>
        <v>0</v>
      </c>
    </row>
    <row r="93" spans="1:21">
      <c r="B93" s="82" t="s">
        <v>78</v>
      </c>
      <c r="C93" s="82" t="s">
        <v>175</v>
      </c>
      <c r="D93" s="82"/>
      <c r="E93" s="82"/>
      <c r="F93" s="82"/>
      <c r="G93" s="82"/>
      <c r="H93" s="82"/>
      <c r="I93" s="82"/>
      <c r="J93" s="82"/>
      <c r="K93" s="82"/>
      <c r="L93" s="82"/>
      <c r="M93" s="82"/>
      <c r="N93" s="82"/>
      <c r="O93" s="82"/>
      <c r="P93" s="82"/>
      <c r="Q93" s="82"/>
      <c r="R93" s="82"/>
      <c r="S93" s="82"/>
      <c r="T93" s="82"/>
      <c r="U93" s="100">
        <f t="shared" si="13"/>
        <v>0</v>
      </c>
    </row>
    <row r="94" spans="1:21">
      <c r="A94" s="86" t="s">
        <v>0</v>
      </c>
      <c r="B94" s="80" t="s">
        <v>80</v>
      </c>
      <c r="C94" s="80" t="s">
        <v>193</v>
      </c>
      <c r="D94" s="80">
        <v>41</v>
      </c>
      <c r="E94" s="80">
        <v>0.33</v>
      </c>
      <c r="F94" s="80">
        <v>13.530000000000001</v>
      </c>
      <c r="G94" s="80">
        <v>2</v>
      </c>
      <c r="H94" s="80">
        <v>6</v>
      </c>
      <c r="I94" s="80">
        <v>8</v>
      </c>
      <c r="J94" s="80">
        <v>6</v>
      </c>
      <c r="K94" s="80"/>
      <c r="L94" s="80"/>
      <c r="M94" s="80"/>
      <c r="N94" s="80"/>
      <c r="O94" s="80"/>
      <c r="P94" s="80"/>
      <c r="Q94" s="80"/>
      <c r="R94" s="80"/>
      <c r="S94" s="77">
        <f>SUM(G94:R94)</f>
        <v>22</v>
      </c>
      <c r="T94" s="98">
        <f>S94/F94</f>
        <v>1.6260162601626016</v>
      </c>
      <c r="U94" s="100">
        <f t="shared" si="13"/>
        <v>1.6260162601626016</v>
      </c>
    </row>
    <row r="95" spans="1:21">
      <c r="A95" s="86" t="s">
        <v>0</v>
      </c>
      <c r="B95" s="80" t="s">
        <v>81</v>
      </c>
      <c r="C95" s="80" t="s">
        <v>193</v>
      </c>
      <c r="D95" s="80">
        <v>41</v>
      </c>
      <c r="E95" s="89">
        <v>0.1</v>
      </c>
      <c r="F95" s="80">
        <f>D95*E95</f>
        <v>4.1000000000000005</v>
      </c>
      <c r="G95" s="80">
        <v>0</v>
      </c>
      <c r="H95" s="80">
        <v>0</v>
      </c>
      <c r="I95" s="80">
        <v>0</v>
      </c>
      <c r="J95" s="80">
        <v>0</v>
      </c>
      <c r="K95" s="80"/>
      <c r="L95" s="80"/>
      <c r="M95" s="80"/>
      <c r="N95" s="80"/>
      <c r="O95" s="80"/>
      <c r="P95" s="80"/>
      <c r="Q95" s="80"/>
      <c r="R95" s="80"/>
      <c r="S95" s="77">
        <f>SUM(G95:R95)</f>
        <v>0</v>
      </c>
      <c r="T95" s="85">
        <f>S95/S94</f>
        <v>0</v>
      </c>
      <c r="U95" s="100">
        <f t="shared" si="13"/>
        <v>0</v>
      </c>
    </row>
    <row r="96" spans="1:21">
      <c r="A96" s="86" t="s">
        <v>0</v>
      </c>
      <c r="B96" s="80" t="s">
        <v>82</v>
      </c>
      <c r="C96" s="80" t="s">
        <v>193</v>
      </c>
      <c r="D96" s="80">
        <v>294</v>
      </c>
      <c r="E96" s="80">
        <v>0.2</v>
      </c>
      <c r="F96" s="80">
        <v>58.800000000000004</v>
      </c>
      <c r="G96" s="80">
        <v>0</v>
      </c>
      <c r="H96" s="80">
        <v>2</v>
      </c>
      <c r="I96" s="80">
        <v>3</v>
      </c>
      <c r="J96" s="80">
        <v>0</v>
      </c>
      <c r="K96" s="80"/>
      <c r="L96" s="80"/>
      <c r="M96" s="80"/>
      <c r="N96" s="80"/>
      <c r="O96" s="80"/>
      <c r="P96" s="80"/>
      <c r="Q96" s="80"/>
      <c r="R96" s="80"/>
      <c r="S96" s="77">
        <f>SUM(G96:R96)</f>
        <v>5</v>
      </c>
      <c r="T96" s="84">
        <f>S96/F96</f>
        <v>8.5034013605442174E-2</v>
      </c>
      <c r="U96" s="100">
        <f t="shared" si="13"/>
        <v>8.5034013605442174E-2</v>
      </c>
    </row>
    <row r="97" spans="1:21">
      <c r="A97" s="86" t="s">
        <v>0</v>
      </c>
      <c r="B97" s="80" t="s">
        <v>83</v>
      </c>
      <c r="C97" s="80" t="s">
        <v>193</v>
      </c>
      <c r="D97" s="80">
        <v>294</v>
      </c>
      <c r="E97" s="77">
        <v>0.15</v>
      </c>
      <c r="F97" s="80">
        <f>F96*E97</f>
        <v>8.82</v>
      </c>
      <c r="G97" s="80">
        <v>0</v>
      </c>
      <c r="H97" s="80">
        <v>0</v>
      </c>
      <c r="I97" s="80">
        <v>0</v>
      </c>
      <c r="J97" s="80">
        <v>0</v>
      </c>
      <c r="K97" s="80"/>
      <c r="L97" s="80"/>
      <c r="M97" s="80"/>
      <c r="N97" s="80"/>
      <c r="O97" s="80"/>
      <c r="P97" s="80"/>
      <c r="Q97" s="80"/>
      <c r="R97" s="80"/>
      <c r="S97" s="77">
        <f>SUM(G97:R97)</f>
        <v>0</v>
      </c>
      <c r="T97" s="85">
        <f>S97/S96</f>
        <v>0</v>
      </c>
      <c r="U97" s="100">
        <f t="shared" si="13"/>
        <v>0</v>
      </c>
    </row>
    <row r="98" spans="1:21">
      <c r="A98" s="86" t="s">
        <v>0</v>
      </c>
      <c r="B98" s="80" t="s">
        <v>84</v>
      </c>
      <c r="C98" s="80" t="s">
        <v>193</v>
      </c>
      <c r="D98" s="80">
        <v>41</v>
      </c>
      <c r="E98" s="97">
        <v>0.5</v>
      </c>
      <c r="F98" s="80">
        <v>1</v>
      </c>
      <c r="G98" s="80">
        <v>0</v>
      </c>
      <c r="H98" s="80">
        <v>0</v>
      </c>
      <c r="I98" s="80">
        <v>0</v>
      </c>
      <c r="J98" s="80">
        <v>0</v>
      </c>
      <c r="K98" s="80"/>
      <c r="L98" s="80"/>
      <c r="M98" s="80"/>
      <c r="N98" s="80"/>
      <c r="O98" s="80"/>
      <c r="P98" s="80"/>
      <c r="Q98" s="80"/>
      <c r="R98" s="80"/>
      <c r="S98" s="77">
        <f>SUM(G98:R98)</f>
        <v>0</v>
      </c>
      <c r="T98" s="85" t="e">
        <f>S98/S95</f>
        <v>#DIV/0!</v>
      </c>
      <c r="U98" s="100" t="e">
        <f t="shared" si="13"/>
        <v>#DIV/0!</v>
      </c>
    </row>
    <row r="99" spans="1:21">
      <c r="A99" s="86" t="s">
        <v>12</v>
      </c>
      <c r="B99" s="80" t="s">
        <v>85</v>
      </c>
      <c r="C99" s="80" t="s">
        <v>193</v>
      </c>
      <c r="D99" s="80">
        <v>206</v>
      </c>
      <c r="E99" s="80">
        <v>1</v>
      </c>
      <c r="F99" s="80">
        <v>206</v>
      </c>
      <c r="G99" s="80">
        <v>1</v>
      </c>
      <c r="H99" s="80">
        <v>5</v>
      </c>
      <c r="I99" s="80">
        <v>4</v>
      </c>
      <c r="J99" s="80">
        <v>6</v>
      </c>
      <c r="K99" s="80"/>
      <c r="L99" s="80"/>
      <c r="M99" s="80"/>
      <c r="N99" s="80"/>
      <c r="O99" s="80"/>
      <c r="P99" s="80"/>
      <c r="Q99" s="80"/>
      <c r="R99" s="80"/>
      <c r="S99" s="77">
        <f>SUM(G99:R99)</f>
        <v>16</v>
      </c>
      <c r="T99" s="84">
        <f>S99/F99</f>
        <v>7.7669902912621352E-2</v>
      </c>
      <c r="U99" s="100">
        <f t="shared" si="13"/>
        <v>7.7669902912621352E-2</v>
      </c>
    </row>
    <row r="100" spans="1:21">
      <c r="A100" s="86" t="s">
        <v>12</v>
      </c>
      <c r="B100" s="80" t="s">
        <v>86</v>
      </c>
      <c r="C100" s="80" t="s">
        <v>193</v>
      </c>
      <c r="D100" s="80">
        <v>96</v>
      </c>
      <c r="E100" s="80">
        <v>0.5</v>
      </c>
      <c r="F100" s="80">
        <v>48</v>
      </c>
      <c r="G100" s="80">
        <v>7</v>
      </c>
      <c r="H100" s="80">
        <v>6</v>
      </c>
      <c r="I100" s="80">
        <v>5</v>
      </c>
      <c r="J100" s="80">
        <v>0</v>
      </c>
      <c r="K100" s="80"/>
      <c r="L100" s="80"/>
      <c r="M100" s="80"/>
      <c r="N100" s="80"/>
      <c r="O100" s="80"/>
      <c r="P100" s="80"/>
      <c r="Q100" s="80"/>
      <c r="R100" s="80"/>
      <c r="S100" s="77">
        <f>SUM(G100:R100)</f>
        <v>18</v>
      </c>
      <c r="T100" s="84">
        <f>S100/F100</f>
        <v>0.375</v>
      </c>
      <c r="U100" s="100">
        <f t="shared" si="13"/>
        <v>0.375</v>
      </c>
    </row>
    <row r="101" spans="1:21">
      <c r="A101" s="86" t="s">
        <v>12</v>
      </c>
      <c r="B101" s="80" t="s">
        <v>87</v>
      </c>
      <c r="C101" s="80" t="s">
        <v>193</v>
      </c>
      <c r="D101" s="80">
        <v>96</v>
      </c>
      <c r="E101" s="77">
        <v>0.01</v>
      </c>
      <c r="F101" s="80">
        <f>F100*E101</f>
        <v>0.48</v>
      </c>
      <c r="G101" s="80">
        <v>0</v>
      </c>
      <c r="H101" s="80">
        <v>1</v>
      </c>
      <c r="I101" s="80">
        <v>0</v>
      </c>
      <c r="J101" s="80">
        <v>0</v>
      </c>
      <c r="K101" s="80"/>
      <c r="L101" s="80"/>
      <c r="M101" s="80"/>
      <c r="N101" s="80"/>
      <c r="O101" s="80"/>
      <c r="P101" s="80"/>
      <c r="Q101" s="80"/>
      <c r="R101" s="80"/>
      <c r="S101" s="77">
        <f t="shared" ref="S101:S107" si="20">SUM(G101:R101)</f>
        <v>1</v>
      </c>
      <c r="T101" s="102">
        <f>S101/S100</f>
        <v>5.5555555555555552E-2</v>
      </c>
      <c r="U101" s="100">
        <f t="shared" si="13"/>
        <v>5.5555555555555552E-2</v>
      </c>
    </row>
    <row r="102" spans="1:21">
      <c r="A102" s="86" t="s">
        <v>12</v>
      </c>
      <c r="B102" s="80" t="s">
        <v>88</v>
      </c>
      <c r="C102" s="80" t="s">
        <v>193</v>
      </c>
      <c r="D102" s="80">
        <v>96</v>
      </c>
      <c r="E102" s="80">
        <v>0.01</v>
      </c>
      <c r="F102" s="80">
        <v>0.48</v>
      </c>
      <c r="G102" s="80">
        <v>0</v>
      </c>
      <c r="H102" s="80">
        <v>0</v>
      </c>
      <c r="I102" s="80">
        <v>1</v>
      </c>
      <c r="J102" s="80">
        <v>0</v>
      </c>
      <c r="K102" s="80"/>
      <c r="L102" s="80"/>
      <c r="M102" s="80"/>
      <c r="N102" s="80"/>
      <c r="O102" s="80"/>
      <c r="P102" s="80"/>
      <c r="Q102" s="80"/>
      <c r="R102" s="80"/>
      <c r="S102" s="77">
        <f t="shared" si="20"/>
        <v>1</v>
      </c>
      <c r="T102" s="80">
        <f>S102/S101</f>
        <v>1</v>
      </c>
      <c r="U102" s="100">
        <f t="shared" si="13"/>
        <v>1</v>
      </c>
    </row>
    <row r="103" spans="1:21">
      <c r="A103" t="s">
        <v>13</v>
      </c>
      <c r="B103" s="80" t="s">
        <v>89</v>
      </c>
      <c r="C103" s="80" t="s">
        <v>193</v>
      </c>
      <c r="D103" s="80">
        <v>87</v>
      </c>
      <c r="E103" s="80">
        <v>0.2</v>
      </c>
      <c r="F103" s="80">
        <v>17.400000000000002</v>
      </c>
      <c r="G103" s="80">
        <v>0</v>
      </c>
      <c r="H103" s="80">
        <v>3</v>
      </c>
      <c r="I103" s="80">
        <v>4</v>
      </c>
      <c r="J103" s="80">
        <v>0</v>
      </c>
      <c r="K103" s="80"/>
      <c r="L103" s="80"/>
      <c r="M103" s="80"/>
      <c r="N103" s="80"/>
      <c r="O103" s="80"/>
      <c r="P103" s="80"/>
      <c r="Q103" s="80"/>
      <c r="R103" s="80"/>
      <c r="S103" s="77">
        <f t="shared" si="20"/>
        <v>7</v>
      </c>
      <c r="T103" s="84">
        <f t="shared" ref="T103:T107" si="21">S103/F103</f>
        <v>0.4022988505747126</v>
      </c>
      <c r="U103" s="100">
        <f t="shared" si="13"/>
        <v>0.4022988505747126</v>
      </c>
    </row>
    <row r="104" spans="1:21">
      <c r="A104" t="s">
        <v>13</v>
      </c>
      <c r="B104" s="80" t="s">
        <v>90</v>
      </c>
      <c r="C104" s="80" t="s">
        <v>193</v>
      </c>
      <c r="D104" s="80">
        <v>87</v>
      </c>
      <c r="E104" s="80">
        <v>0.2</v>
      </c>
      <c r="F104" s="80">
        <v>17.400000000000002</v>
      </c>
      <c r="G104" s="80">
        <v>8</v>
      </c>
      <c r="H104" s="80">
        <v>2</v>
      </c>
      <c r="I104" s="80">
        <v>3</v>
      </c>
      <c r="J104" s="80">
        <v>2</v>
      </c>
      <c r="K104" s="80"/>
      <c r="L104" s="80"/>
      <c r="M104" s="80"/>
      <c r="N104" s="80"/>
      <c r="O104" s="80"/>
      <c r="P104" s="80"/>
      <c r="Q104" s="80"/>
      <c r="R104" s="80"/>
      <c r="S104" s="77">
        <f t="shared" si="20"/>
        <v>15</v>
      </c>
      <c r="T104" s="84">
        <f t="shared" si="21"/>
        <v>0.86206896551724133</v>
      </c>
      <c r="U104" s="100">
        <f t="shared" si="13"/>
        <v>0.86206896551724133</v>
      </c>
    </row>
    <row r="105" spans="1:21">
      <c r="A105" t="s">
        <v>13</v>
      </c>
      <c r="B105" s="80" t="s">
        <v>91</v>
      </c>
      <c r="C105" s="80" t="s">
        <v>193</v>
      </c>
      <c r="D105" s="80">
        <v>87</v>
      </c>
      <c r="E105" s="80">
        <v>0.2</v>
      </c>
      <c r="F105" s="80">
        <v>17.400000000000002</v>
      </c>
      <c r="G105" s="80">
        <v>0</v>
      </c>
      <c r="H105" s="80">
        <v>1</v>
      </c>
      <c r="I105" s="80">
        <v>1</v>
      </c>
      <c r="J105" s="80">
        <v>0</v>
      </c>
      <c r="K105" s="80"/>
      <c r="L105" s="80"/>
      <c r="M105" s="80"/>
      <c r="N105" s="80"/>
      <c r="O105" s="80"/>
      <c r="P105" s="80"/>
      <c r="Q105" s="80"/>
      <c r="R105" s="80"/>
      <c r="S105" s="77">
        <f t="shared" si="20"/>
        <v>2</v>
      </c>
      <c r="T105" s="84">
        <f t="shared" si="21"/>
        <v>0.11494252873563217</v>
      </c>
      <c r="U105" s="100">
        <f t="shared" si="13"/>
        <v>0.11494252873563217</v>
      </c>
    </row>
    <row r="106" spans="1:21">
      <c r="A106" s="86" t="s">
        <v>13</v>
      </c>
      <c r="B106" s="80" t="s">
        <v>104</v>
      </c>
      <c r="C106" s="80" t="s">
        <v>193</v>
      </c>
      <c r="D106" s="80">
        <v>87</v>
      </c>
      <c r="E106" s="77">
        <v>0.1</v>
      </c>
      <c r="F106" s="77">
        <f t="shared" ref="F106:F107" si="22">E106*D106</f>
        <v>8.7000000000000011</v>
      </c>
      <c r="G106" s="80">
        <v>0</v>
      </c>
      <c r="H106" s="80">
        <v>0</v>
      </c>
      <c r="I106" s="80">
        <v>0</v>
      </c>
      <c r="J106" s="80">
        <v>0</v>
      </c>
      <c r="K106" s="80"/>
      <c r="L106" s="80"/>
      <c r="M106" s="80"/>
      <c r="N106" s="80"/>
      <c r="O106" s="80"/>
      <c r="P106" s="80"/>
      <c r="Q106" s="80"/>
      <c r="R106" s="80"/>
      <c r="S106" s="77">
        <f t="shared" si="20"/>
        <v>0</v>
      </c>
      <c r="T106" s="84">
        <f>S106/S104</f>
        <v>0</v>
      </c>
      <c r="U106" s="100">
        <f t="shared" si="13"/>
        <v>0</v>
      </c>
    </row>
    <row r="107" spans="1:21">
      <c r="A107" s="86" t="s">
        <v>13</v>
      </c>
      <c r="B107" s="80" t="s">
        <v>93</v>
      </c>
      <c r="C107" s="80" t="s">
        <v>193</v>
      </c>
      <c r="D107" s="80">
        <v>87</v>
      </c>
      <c r="E107" s="77">
        <v>0.1</v>
      </c>
      <c r="F107" s="77">
        <f t="shared" si="22"/>
        <v>8.7000000000000011</v>
      </c>
      <c r="G107" s="80">
        <v>0</v>
      </c>
      <c r="H107" s="80">
        <v>0</v>
      </c>
      <c r="I107" s="80">
        <v>0</v>
      </c>
      <c r="J107" s="80">
        <v>0</v>
      </c>
      <c r="K107" s="80"/>
      <c r="L107" s="80"/>
      <c r="M107" s="80"/>
      <c r="N107" s="80"/>
      <c r="O107" s="80"/>
      <c r="P107" s="80"/>
      <c r="Q107" s="80"/>
      <c r="R107" s="80"/>
      <c r="S107" s="77">
        <f t="shared" si="20"/>
        <v>0</v>
      </c>
      <c r="T107" s="84" t="e">
        <f>S107/S106</f>
        <v>#DIV/0!</v>
      </c>
      <c r="U107" s="100" t="e">
        <f t="shared" si="13"/>
        <v>#DIV/0!</v>
      </c>
    </row>
    <row r="108" spans="1:21">
      <c r="A108" s="86" t="s">
        <v>14</v>
      </c>
      <c r="B108" s="80" t="s">
        <v>94</v>
      </c>
      <c r="C108" s="80" t="s">
        <v>193</v>
      </c>
      <c r="D108" s="80">
        <v>197</v>
      </c>
      <c r="E108" s="80">
        <v>0.5</v>
      </c>
      <c r="F108" s="80">
        <v>98.5</v>
      </c>
      <c r="G108" s="80">
        <v>4</v>
      </c>
      <c r="H108" s="80">
        <v>3</v>
      </c>
      <c r="I108" s="80">
        <v>3</v>
      </c>
      <c r="J108" s="80">
        <v>2</v>
      </c>
      <c r="K108" s="80"/>
      <c r="L108" s="80"/>
      <c r="M108" s="80"/>
      <c r="N108" s="80"/>
      <c r="O108" s="80"/>
      <c r="P108" s="80"/>
      <c r="Q108" s="80"/>
      <c r="R108" s="80"/>
      <c r="S108" s="77">
        <f>SUM(G108:R108)</f>
        <v>12</v>
      </c>
      <c r="T108" s="84">
        <f>S108/F108</f>
        <v>0.12182741116751269</v>
      </c>
      <c r="U108" s="100">
        <f t="shared" si="13"/>
        <v>0.12182741116751269</v>
      </c>
    </row>
    <row r="109" spans="1:21">
      <c r="A109" s="86" t="s">
        <v>14</v>
      </c>
      <c r="B109" s="80" t="s">
        <v>95</v>
      </c>
      <c r="C109" s="80" t="s">
        <v>193</v>
      </c>
      <c r="D109" s="80">
        <v>197</v>
      </c>
      <c r="E109" s="87">
        <v>0.1</v>
      </c>
      <c r="F109" s="80">
        <f>F108*E109</f>
        <v>9.8500000000000014</v>
      </c>
      <c r="G109" s="80">
        <v>0</v>
      </c>
      <c r="H109" s="80">
        <v>0</v>
      </c>
      <c r="I109" s="80">
        <v>0</v>
      </c>
      <c r="J109" s="80">
        <v>0</v>
      </c>
      <c r="K109" s="80"/>
      <c r="L109" s="80"/>
      <c r="M109" s="80"/>
      <c r="N109" s="80"/>
      <c r="O109" s="80"/>
      <c r="P109" s="80"/>
      <c r="Q109" s="80"/>
      <c r="R109" s="80"/>
      <c r="S109" s="77">
        <f t="shared" ref="S109:S110" si="23">SUM(G109:R109)</f>
        <v>0</v>
      </c>
      <c r="T109" s="90">
        <f>S109/S108</f>
        <v>0</v>
      </c>
      <c r="U109" s="100">
        <f t="shared" si="13"/>
        <v>0</v>
      </c>
    </row>
    <row r="110" spans="1:21">
      <c r="A110" s="86" t="s">
        <v>14</v>
      </c>
      <c r="B110" s="80" t="s">
        <v>96</v>
      </c>
      <c r="C110" s="80" t="s">
        <v>193</v>
      </c>
      <c r="D110" s="80">
        <v>197</v>
      </c>
      <c r="E110" s="87">
        <v>0.1</v>
      </c>
      <c r="F110" s="80">
        <v>9.8500000000000014</v>
      </c>
      <c r="G110" s="80">
        <v>0</v>
      </c>
      <c r="H110" s="80">
        <v>0</v>
      </c>
      <c r="I110" s="80">
        <v>0</v>
      </c>
      <c r="J110" s="80">
        <v>0</v>
      </c>
      <c r="K110" s="80"/>
      <c r="L110" s="80"/>
      <c r="M110" s="80"/>
      <c r="N110" s="80"/>
      <c r="O110" s="80"/>
      <c r="P110" s="80"/>
      <c r="Q110" s="80"/>
      <c r="R110" s="80"/>
      <c r="S110" s="77">
        <f t="shared" si="23"/>
        <v>0</v>
      </c>
      <c r="T110" s="80" t="e">
        <f>S110/S109</f>
        <v>#DIV/0!</v>
      </c>
      <c r="U110" s="100" t="e">
        <f t="shared" si="13"/>
        <v>#DIV/0!</v>
      </c>
    </row>
    <row r="111" spans="1:21">
      <c r="B111" s="80" t="s">
        <v>78</v>
      </c>
      <c r="C111" s="80" t="s">
        <v>193</v>
      </c>
      <c r="D111" s="80"/>
      <c r="E111" s="80"/>
      <c r="F111" s="80"/>
      <c r="G111" s="80"/>
      <c r="H111" s="80"/>
      <c r="I111" s="80"/>
      <c r="J111" s="80"/>
      <c r="K111" s="80"/>
      <c r="L111" s="80"/>
      <c r="M111" s="80"/>
      <c r="N111" s="80"/>
      <c r="O111" s="80"/>
      <c r="P111" s="80"/>
      <c r="Q111" s="80"/>
      <c r="R111" s="80"/>
      <c r="S111" s="80"/>
      <c r="T111" s="80"/>
      <c r="U111" s="100">
        <f t="shared" si="13"/>
        <v>0</v>
      </c>
    </row>
  </sheetData>
  <conditionalFormatting sqref="V4">
    <cfRule type="iconSet" priority="4">
      <iconSet iconSet="3Signs">
        <cfvo type="percent" val="0"/>
        <cfvo type="percent" val="33"/>
        <cfvo type="percent" val="67"/>
      </iconSet>
    </cfRule>
  </conditionalFormatting>
  <conditionalFormatting sqref="U4">
    <cfRule type="colorScale" priority="1">
      <colorScale>
        <cfvo type="num" val="30"/>
        <cfvo type="num" val="50"/>
        <cfvo type="num" val="80"/>
        <color rgb="FFF8696B"/>
        <color rgb="FFFFEB84"/>
        <color rgb="FF63BE7B"/>
      </colorScale>
    </cfRule>
  </conditionalFormatting>
  <pageMargins left="0.7" right="0.7" top="0.75" bottom="0.75" header="0.3" footer="0.3"/>
  <ignoredErrors>
    <ignoredError sqref="T5 T16 T18:T34 T36:T47 T54:T61 T72:T88 T90:T106 T49:T52 T63:T70" formula="1"/>
    <ignoredError sqref="S9 S12 S10 S108 S91:S92 S73:S74 S55:S56 S37:S38 S109:S110 S20 S93:S99 S75:S81 S57:S63 S39:S45 S21:S27 S100 S82 S64 S46 S28 S90 S72 S54 S36 S29:S30 S47:S48 S65:S66 S83:S84 S101:S102 S18 S13:S17 S19 S103:S107 S85:S89 S67:S71 S49:S53 S31:S35 S111 S4" formulaRange="1"/>
    <ignoredError sqref="T48 T62" evalError="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A6189-071D-48EA-910F-83A5F16601AE}">
  <dimension ref="A1:D18"/>
  <sheetViews>
    <sheetView workbookViewId="0">
      <selection activeCell="H14" sqref="H14"/>
    </sheetView>
  </sheetViews>
  <sheetFormatPr baseColWidth="10" defaultRowHeight="15"/>
  <cols>
    <col min="1" max="1" width="18.5703125" customWidth="1"/>
  </cols>
  <sheetData>
    <row r="1" spans="1:4">
      <c r="A1" s="71" t="s">
        <v>184</v>
      </c>
      <c r="B1" s="71"/>
      <c r="C1" s="71"/>
      <c r="D1" s="71"/>
    </row>
    <row r="2" spans="1:4">
      <c r="A2" s="63" t="s">
        <v>182</v>
      </c>
      <c r="B2" s="63" t="s">
        <v>177</v>
      </c>
      <c r="C2" s="63" t="s">
        <v>178</v>
      </c>
      <c r="D2" s="63" t="s">
        <v>179</v>
      </c>
    </row>
    <row r="3" spans="1:4">
      <c r="A3" s="60" t="s">
        <v>39</v>
      </c>
      <c r="B3" s="37">
        <v>77</v>
      </c>
      <c r="C3" s="37">
        <v>70</v>
      </c>
      <c r="D3" s="61"/>
    </row>
    <row r="4" spans="1:4">
      <c r="A4" s="60" t="s">
        <v>40</v>
      </c>
      <c r="B4" s="37">
        <v>142</v>
      </c>
      <c r="C4" s="37">
        <v>138</v>
      </c>
      <c r="D4" s="37">
        <v>175</v>
      </c>
    </row>
    <row r="5" spans="1:4">
      <c r="A5" s="60" t="s">
        <v>41</v>
      </c>
      <c r="B5" s="37">
        <v>14</v>
      </c>
      <c r="C5" s="37">
        <v>9</v>
      </c>
      <c r="D5" s="37">
        <v>10</v>
      </c>
    </row>
    <row r="6" spans="1:4">
      <c r="A6" s="60" t="s">
        <v>42</v>
      </c>
      <c r="B6" s="37">
        <v>4</v>
      </c>
      <c r="C6" s="37">
        <v>9</v>
      </c>
      <c r="D6" s="37"/>
    </row>
    <row r="7" spans="1:4">
      <c r="A7" s="60" t="s">
        <v>180</v>
      </c>
      <c r="B7" s="37">
        <v>93</v>
      </c>
      <c r="C7" s="37">
        <v>34</v>
      </c>
      <c r="D7" s="37">
        <v>39</v>
      </c>
    </row>
    <row r="8" spans="1:4">
      <c r="A8" s="60" t="s">
        <v>181</v>
      </c>
      <c r="B8" s="37">
        <v>2</v>
      </c>
      <c r="C8" s="37">
        <v>6</v>
      </c>
      <c r="D8" s="37">
        <v>8</v>
      </c>
    </row>
    <row r="11" spans="1:4">
      <c r="A11" s="72" t="s">
        <v>185</v>
      </c>
      <c r="B11" s="72"/>
      <c r="C11" s="72"/>
      <c r="D11" s="72"/>
    </row>
    <row r="12" spans="1:4">
      <c r="A12" s="64" t="s">
        <v>176</v>
      </c>
      <c r="B12" s="63" t="s">
        <v>177</v>
      </c>
      <c r="C12" s="63" t="s">
        <v>178</v>
      </c>
      <c r="D12" s="63" t="s">
        <v>179</v>
      </c>
    </row>
    <row r="13" spans="1:4">
      <c r="A13" s="60" t="s">
        <v>39</v>
      </c>
      <c r="B13" s="37">
        <v>235</v>
      </c>
      <c r="C13" s="37">
        <v>304</v>
      </c>
      <c r="D13" s="61"/>
    </row>
    <row r="14" spans="1:4">
      <c r="A14" s="60" t="s">
        <v>40</v>
      </c>
      <c r="B14" s="37">
        <v>74</v>
      </c>
      <c r="C14" s="37">
        <v>78</v>
      </c>
      <c r="D14" s="37">
        <v>128</v>
      </c>
    </row>
    <row r="15" spans="1:4">
      <c r="A15" s="60" t="s">
        <v>41</v>
      </c>
      <c r="B15" s="37">
        <v>15</v>
      </c>
      <c r="C15" s="37">
        <v>8</v>
      </c>
      <c r="D15" s="37">
        <v>20</v>
      </c>
    </row>
    <row r="16" spans="1:4" ht="30">
      <c r="A16" s="60" t="s">
        <v>42</v>
      </c>
      <c r="B16" s="37">
        <v>53</v>
      </c>
      <c r="C16" s="37">
        <v>93</v>
      </c>
      <c r="D16" s="62" t="s">
        <v>183</v>
      </c>
    </row>
    <row r="17" spans="1:4">
      <c r="A17" s="60" t="s">
        <v>180</v>
      </c>
      <c r="B17" s="37">
        <v>37</v>
      </c>
      <c r="C17" s="37">
        <v>24</v>
      </c>
      <c r="D17" s="37">
        <v>89</v>
      </c>
    </row>
    <row r="18" spans="1:4">
      <c r="A18" s="60" t="s">
        <v>181</v>
      </c>
      <c r="B18" s="37">
        <v>7</v>
      </c>
      <c r="C18" s="37">
        <v>6</v>
      </c>
      <c r="D18" s="37">
        <v>5</v>
      </c>
    </row>
  </sheetData>
  <mergeCells count="2">
    <mergeCell ref="A1:D1"/>
    <mergeCell ref="A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Nueva EPS (2)</vt:lpstr>
      <vt:lpstr>Nueva EPS</vt:lpstr>
      <vt:lpstr>Sanitas</vt:lpstr>
      <vt:lpstr>Coosalud</vt:lpstr>
      <vt:lpstr>Famisanar</vt:lpstr>
      <vt:lpstr>Salud Total</vt:lpstr>
      <vt:lpstr>Proteger</vt:lpstr>
      <vt:lpstr>Consolidado</vt:lpstr>
      <vt:lpstr>MODELO INDICADORES </vt:lpstr>
      <vt:lpstr>TABLERO INDICADORES </vt:lpstr>
      <vt:lpstr>CCU - Mamografia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2026-06-08T18:10:20Z</dcterms:modified>
</cp:coreProperties>
</file>